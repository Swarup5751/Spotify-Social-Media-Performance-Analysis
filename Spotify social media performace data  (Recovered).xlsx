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waru\OneDrive\Desktop\"/>
    </mc:Choice>
  </mc:AlternateContent>
  <xr:revisionPtr revIDLastSave="0" documentId="13_ncr:1_{71CD021B-8D60-4AC0-A580-457CC9E8A7F5}" xr6:coauthVersionLast="47" xr6:coauthVersionMax="47" xr10:uidLastSave="{00000000-0000-0000-0000-000000000000}"/>
  <bookViews>
    <workbookView xWindow="-108" yWindow="-108" windowWidth="23256" windowHeight="12456" firstSheet="6" activeTab="12" xr2:uid="{00000000-000D-0000-FFFF-FFFF00000000}"/>
  </bookViews>
  <sheets>
    <sheet name="Table1" sheetId="15" r:id="rId1"/>
    <sheet name="Posts" sheetId="1" r:id="rId2"/>
    <sheet name="Engagement Summary" sheetId="2" r:id="rId3"/>
    <sheet name="Campaign Metadata" sheetId="3" r:id="rId4"/>
    <sheet name="Posts_clean" sheetId="4" r:id="rId5"/>
    <sheet name="Engagement_Summary_clean" sheetId="5" r:id="rId6"/>
    <sheet name="Campaign_Metadata_clean" sheetId="6" r:id="rId7"/>
    <sheet name="Task1" sheetId="7" r:id="rId8"/>
    <sheet name="Task2" sheetId="8" r:id="rId9"/>
    <sheet name="Task3" sheetId="16" r:id="rId10"/>
    <sheet name="Task4" sheetId="17" r:id="rId11"/>
    <sheet name="Task5" sheetId="23" r:id="rId12"/>
    <sheet name="Task6" sheetId="26" r:id="rId13"/>
  </sheets>
  <definedNames>
    <definedName name="_xlnm._FilterDatabase" localSheetId="4" hidden="1">Posts_clean!$O$1:$O$301</definedName>
    <definedName name="_xlnm._FilterDatabase" localSheetId="8" hidden="1">Task2!$A$15:$I$25</definedName>
    <definedName name="ExternalData_1" localSheetId="0" hidden="1">Table1!$A$1:$N$484</definedName>
  </definedNames>
  <calcPr calcId="191029"/>
  <pivotCaches>
    <pivotCache cacheId="0" r:id="rId14"/>
    <pivotCache cacheId="1" r:id="rId15"/>
    <pivotCache cacheId="2" r:id="rId16"/>
    <pivotCache cacheId="3" r:id="rId17"/>
    <pivotCache cacheId="5" r:id="rId18"/>
    <pivotCache cacheId="37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26" l="1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77" i="26"/>
  <c r="A78" i="26"/>
  <c r="A79" i="26"/>
  <c r="A80" i="26"/>
  <c r="A81" i="26"/>
  <c r="A82" i="26"/>
  <c r="A83" i="26"/>
  <c r="B76" i="26"/>
  <c r="A76" i="26"/>
  <c r="M2" i="5"/>
  <c r="L200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1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P20" i="26"/>
  <c r="P21" i="26"/>
  <c r="P22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4" i="26"/>
  <c r="D48" i="23" a="1"/>
  <c r="D48" i="23" s="1"/>
  <c r="D50" i="23" a="1"/>
  <c r="D50" i="23" s="1"/>
  <c r="D49" i="23" a="1"/>
  <c r="D49" i="23" s="1"/>
  <c r="D47" i="23" a="1"/>
  <c r="D47" i="23" s="1"/>
  <c r="E47" i="23" s="1"/>
  <c r="C37" i="23"/>
  <c r="D37" i="23"/>
  <c r="E34" i="23"/>
  <c r="E35" i="23"/>
  <c r="E36" i="23"/>
  <c r="E33" i="23"/>
  <c r="C36" i="23"/>
  <c r="C35" i="23"/>
  <c r="C34" i="23"/>
  <c r="C33" i="23"/>
  <c r="J23" i="23"/>
  <c r="J24" i="23"/>
  <c r="J25" i="23"/>
  <c r="J22" i="23"/>
  <c r="I23" i="23"/>
  <c r="I24" i="23"/>
  <c r="I25" i="23"/>
  <c r="I22" i="23"/>
  <c r="K22" i="23" s="1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2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2" i="4"/>
  <c r="Y7" i="4"/>
  <c r="Y8" i="4"/>
  <c r="Y9" i="4"/>
  <c r="Y10" i="4"/>
  <c r="Y11" i="4"/>
  <c r="S11" i="4" s="1"/>
  <c r="Y12" i="4"/>
  <c r="Y13" i="4"/>
  <c r="Y14" i="4"/>
  <c r="Y15" i="4"/>
  <c r="Y16" i="4"/>
  <c r="Y17" i="4"/>
  <c r="Y18" i="4"/>
  <c r="Y19" i="4"/>
  <c r="AA19" i="4" s="1"/>
  <c r="AB19" i="4" s="1"/>
  <c r="Y20" i="4"/>
  <c r="Y21" i="4"/>
  <c r="Y22" i="4"/>
  <c r="Y23" i="4"/>
  <c r="Y24" i="4"/>
  <c r="Y25" i="4"/>
  <c r="Y26" i="4"/>
  <c r="AA26" i="4" s="1"/>
  <c r="AB26" i="4" s="1"/>
  <c r="Y27" i="4"/>
  <c r="S27" i="4" s="1"/>
  <c r="Y28" i="4"/>
  <c r="Y29" i="4"/>
  <c r="Y30" i="4"/>
  <c r="Y31" i="4"/>
  <c r="Y32" i="4"/>
  <c r="Y33" i="4"/>
  <c r="Y34" i="4"/>
  <c r="AA34" i="4" s="1"/>
  <c r="AB34" i="4" s="1"/>
  <c r="Y35" i="4"/>
  <c r="S35" i="4" s="1"/>
  <c r="Y36" i="4"/>
  <c r="Y37" i="4"/>
  <c r="Y38" i="4"/>
  <c r="Y39" i="4"/>
  <c r="Y40" i="4"/>
  <c r="Y41" i="4"/>
  <c r="Y42" i="4"/>
  <c r="AA42" i="4" s="1"/>
  <c r="AB42" i="4" s="1"/>
  <c r="Y43" i="4"/>
  <c r="S43" i="4" s="1"/>
  <c r="Y44" i="4"/>
  <c r="Y45" i="4"/>
  <c r="Y46" i="4"/>
  <c r="Y47" i="4"/>
  <c r="Y48" i="4"/>
  <c r="Y49" i="4"/>
  <c r="Y50" i="4"/>
  <c r="AA50" i="4" s="1"/>
  <c r="AB50" i="4" s="1"/>
  <c r="Y51" i="4"/>
  <c r="S51" i="4" s="1"/>
  <c r="Y52" i="4"/>
  <c r="Y53" i="4"/>
  <c r="Y54" i="4"/>
  <c r="Y55" i="4"/>
  <c r="Y56" i="4"/>
  <c r="Y57" i="4"/>
  <c r="Y58" i="4"/>
  <c r="AA58" i="4" s="1"/>
  <c r="AB58" i="4" s="1"/>
  <c r="Y59" i="4"/>
  <c r="S59" i="4" s="1"/>
  <c r="Y60" i="4"/>
  <c r="Y61" i="4"/>
  <c r="Y62" i="4"/>
  <c r="Y63" i="4"/>
  <c r="Y64" i="4"/>
  <c r="Y65" i="4"/>
  <c r="Y66" i="4"/>
  <c r="AA66" i="4" s="1"/>
  <c r="AB66" i="4" s="1"/>
  <c r="Y67" i="4"/>
  <c r="S67" i="4" s="1"/>
  <c r="Y68" i="4"/>
  <c r="Y69" i="4"/>
  <c r="Y70" i="4"/>
  <c r="Y71" i="4"/>
  <c r="Y72" i="4"/>
  <c r="Y73" i="4"/>
  <c r="Y74" i="4"/>
  <c r="AA74" i="4" s="1"/>
  <c r="AB74" i="4" s="1"/>
  <c r="Y75" i="4"/>
  <c r="S75" i="4" s="1"/>
  <c r="Y76" i="4"/>
  <c r="Y77" i="4"/>
  <c r="Y78" i="4"/>
  <c r="Y79" i="4"/>
  <c r="Y80" i="4"/>
  <c r="Y81" i="4"/>
  <c r="Y82" i="4"/>
  <c r="AA82" i="4" s="1"/>
  <c r="Y83" i="4"/>
  <c r="S83" i="4" s="1"/>
  <c r="Y84" i="4"/>
  <c r="Y85" i="4"/>
  <c r="Y86" i="4"/>
  <c r="Y87" i="4"/>
  <c r="Y88" i="4"/>
  <c r="Y89" i="4"/>
  <c r="Y90" i="4"/>
  <c r="AA90" i="4" s="1"/>
  <c r="Y91" i="4"/>
  <c r="S91" i="4" s="1"/>
  <c r="Y92" i="4"/>
  <c r="Y93" i="4"/>
  <c r="Y94" i="4"/>
  <c r="Y95" i="4"/>
  <c r="Y96" i="4"/>
  <c r="Y97" i="4"/>
  <c r="Y98" i="4"/>
  <c r="AA98" i="4" s="1"/>
  <c r="AB98" i="4" s="1"/>
  <c r="Y99" i="4"/>
  <c r="S99" i="4" s="1"/>
  <c r="Y100" i="4"/>
  <c r="Y101" i="4"/>
  <c r="Y102" i="4"/>
  <c r="Y103" i="4"/>
  <c r="Y104" i="4"/>
  <c r="Y105" i="4"/>
  <c r="Y106" i="4"/>
  <c r="AA106" i="4" s="1"/>
  <c r="AB106" i="4" s="1"/>
  <c r="Y107" i="4"/>
  <c r="S107" i="4" s="1"/>
  <c r="Y108" i="4"/>
  <c r="Y109" i="4"/>
  <c r="Y110" i="4"/>
  <c r="Y111" i="4"/>
  <c r="Y112" i="4"/>
  <c r="Y113" i="4"/>
  <c r="Y114" i="4"/>
  <c r="AA114" i="4" s="1"/>
  <c r="AB114" i="4" s="1"/>
  <c r="Y115" i="4"/>
  <c r="S115" i="4" s="1"/>
  <c r="Y116" i="4"/>
  <c r="Y117" i="4"/>
  <c r="Y118" i="4"/>
  <c r="Y119" i="4"/>
  <c r="Y120" i="4"/>
  <c r="Y121" i="4"/>
  <c r="Y122" i="4"/>
  <c r="AA122" i="4" s="1"/>
  <c r="AB122" i="4" s="1"/>
  <c r="Y123" i="4"/>
  <c r="S123" i="4" s="1"/>
  <c r="Y124" i="4"/>
  <c r="Y125" i="4"/>
  <c r="Y126" i="4"/>
  <c r="Y127" i="4"/>
  <c r="Y128" i="4"/>
  <c r="Y129" i="4"/>
  <c r="Y130" i="4"/>
  <c r="AA130" i="4" s="1"/>
  <c r="AB130" i="4" s="1"/>
  <c r="Y131" i="4"/>
  <c r="S131" i="4" s="1"/>
  <c r="Y132" i="4"/>
  <c r="Y133" i="4"/>
  <c r="Y134" i="4"/>
  <c r="Y135" i="4"/>
  <c r="Y136" i="4"/>
  <c r="Y137" i="4"/>
  <c r="Y138" i="4"/>
  <c r="AA138" i="4" s="1"/>
  <c r="AB138" i="4" s="1"/>
  <c r="Y139" i="4"/>
  <c r="S139" i="4" s="1"/>
  <c r="Y140" i="4"/>
  <c r="Y141" i="4"/>
  <c r="Y142" i="4"/>
  <c r="Y143" i="4"/>
  <c r="Y144" i="4"/>
  <c r="Y145" i="4"/>
  <c r="Y146" i="4"/>
  <c r="AA146" i="4" s="1"/>
  <c r="AB146" i="4" s="1"/>
  <c r="Y147" i="4"/>
  <c r="S147" i="4" s="1"/>
  <c r="Y148" i="4"/>
  <c r="Y149" i="4"/>
  <c r="AA149" i="4" s="1"/>
  <c r="Y150" i="4"/>
  <c r="Y151" i="4"/>
  <c r="Y152" i="4"/>
  <c r="Y153" i="4"/>
  <c r="Y154" i="4"/>
  <c r="AA154" i="4" s="1"/>
  <c r="AB154" i="4" s="1"/>
  <c r="Y155" i="4"/>
  <c r="AA155" i="4" s="1"/>
  <c r="AB155" i="4" s="1"/>
  <c r="Y156" i="4"/>
  <c r="AA156" i="4" s="1"/>
  <c r="AB156" i="4" s="1"/>
  <c r="Y157" i="4"/>
  <c r="AA157" i="4" s="1"/>
  <c r="AB157" i="4" s="1"/>
  <c r="Y158" i="4"/>
  <c r="AA158" i="4" s="1"/>
  <c r="Y159" i="4"/>
  <c r="AA159" i="4" s="1"/>
  <c r="Y160" i="4"/>
  <c r="AA160" i="4" s="1"/>
  <c r="AB160" i="4" s="1"/>
  <c r="Y161" i="4"/>
  <c r="AA161" i="4" s="1"/>
  <c r="AB161" i="4" s="1"/>
  <c r="Y162" i="4"/>
  <c r="AA162" i="4" s="1"/>
  <c r="AB162" i="4" s="1"/>
  <c r="Y163" i="4"/>
  <c r="AA163" i="4" s="1"/>
  <c r="AB163" i="4" s="1"/>
  <c r="Y164" i="4"/>
  <c r="AA164" i="4" s="1"/>
  <c r="AB164" i="4" s="1"/>
  <c r="Y165" i="4"/>
  <c r="AA165" i="4" s="1"/>
  <c r="AB165" i="4" s="1"/>
  <c r="Y166" i="4"/>
  <c r="AA166" i="4" s="1"/>
  <c r="AB166" i="4" s="1"/>
  <c r="Y167" i="4"/>
  <c r="AA167" i="4" s="1"/>
  <c r="AB167" i="4" s="1"/>
  <c r="Y168" i="4"/>
  <c r="AA168" i="4" s="1"/>
  <c r="Y169" i="4"/>
  <c r="AA169" i="4" s="1"/>
  <c r="AB169" i="4" s="1"/>
  <c r="Y170" i="4"/>
  <c r="AA170" i="4" s="1"/>
  <c r="AB170" i="4" s="1"/>
  <c r="Y171" i="4"/>
  <c r="AA171" i="4" s="1"/>
  <c r="AB171" i="4" s="1"/>
  <c r="Y172" i="4"/>
  <c r="AA172" i="4" s="1"/>
  <c r="AB172" i="4" s="1"/>
  <c r="Y173" i="4"/>
  <c r="AA173" i="4" s="1"/>
  <c r="AB173" i="4" s="1"/>
  <c r="Y174" i="4"/>
  <c r="AA174" i="4" s="1"/>
  <c r="AB174" i="4" s="1"/>
  <c r="Y175" i="4"/>
  <c r="AA175" i="4" s="1"/>
  <c r="AB175" i="4" s="1"/>
  <c r="Y176" i="4"/>
  <c r="AA176" i="4" s="1"/>
  <c r="AB176" i="4" s="1"/>
  <c r="Y177" i="4"/>
  <c r="AA177" i="4" s="1"/>
  <c r="Y178" i="4"/>
  <c r="AA178" i="4" s="1"/>
  <c r="AB178" i="4" s="1"/>
  <c r="Y179" i="4"/>
  <c r="AA179" i="4" s="1"/>
  <c r="Y180" i="4"/>
  <c r="AA180" i="4" s="1"/>
  <c r="AB180" i="4" s="1"/>
  <c r="Y181" i="4"/>
  <c r="AA181" i="4" s="1"/>
  <c r="AB181" i="4" s="1"/>
  <c r="Y182" i="4"/>
  <c r="AA182" i="4" s="1"/>
  <c r="AB182" i="4" s="1"/>
  <c r="Y183" i="4"/>
  <c r="AA183" i="4" s="1"/>
  <c r="AB183" i="4" s="1"/>
  <c r="Y184" i="4"/>
  <c r="AA184" i="4" s="1"/>
  <c r="AB184" i="4" s="1"/>
  <c r="Y185" i="4"/>
  <c r="AA185" i="4" s="1"/>
  <c r="Y186" i="4"/>
  <c r="AA186" i="4" s="1"/>
  <c r="AB186" i="4" s="1"/>
  <c r="Y187" i="4"/>
  <c r="AA187" i="4" s="1"/>
  <c r="Y188" i="4"/>
  <c r="AA188" i="4" s="1"/>
  <c r="AB188" i="4" s="1"/>
  <c r="Y189" i="4"/>
  <c r="AA189" i="4" s="1"/>
  <c r="AB189" i="4" s="1"/>
  <c r="Y190" i="4"/>
  <c r="AA190" i="4" s="1"/>
  <c r="AB190" i="4" s="1"/>
  <c r="Y191" i="4"/>
  <c r="AA191" i="4" s="1"/>
  <c r="Y192" i="4"/>
  <c r="AA192" i="4" s="1"/>
  <c r="AB192" i="4" s="1"/>
  <c r="Y193" i="4"/>
  <c r="AA193" i="4" s="1"/>
  <c r="AB193" i="4" s="1"/>
  <c r="Y194" i="4"/>
  <c r="AA194" i="4" s="1"/>
  <c r="AB194" i="4" s="1"/>
  <c r="Y195" i="4"/>
  <c r="S195" i="4" s="1"/>
  <c r="Y196" i="4"/>
  <c r="AA196" i="4" s="1"/>
  <c r="AB196" i="4" s="1"/>
  <c r="Y197" i="4"/>
  <c r="AA197" i="4" s="1"/>
  <c r="Y198" i="4"/>
  <c r="AA198" i="4" s="1"/>
  <c r="Y199" i="4"/>
  <c r="AA199" i="4" s="1"/>
  <c r="Y200" i="4"/>
  <c r="AA200" i="4" s="1"/>
  <c r="Y201" i="4"/>
  <c r="AA201" i="4" s="1"/>
  <c r="AB201" i="4" s="1"/>
  <c r="Y202" i="4"/>
  <c r="AA202" i="4" s="1"/>
  <c r="AB202" i="4" s="1"/>
  <c r="Y203" i="4"/>
  <c r="S203" i="4" s="1"/>
  <c r="Y204" i="4"/>
  <c r="AA204" i="4" s="1"/>
  <c r="AB204" i="4" s="1"/>
  <c r="Y205" i="4"/>
  <c r="AA205" i="4" s="1"/>
  <c r="Y206" i="4"/>
  <c r="AA206" i="4" s="1"/>
  <c r="AB206" i="4" s="1"/>
  <c r="Y207" i="4"/>
  <c r="AA207" i="4" s="1"/>
  <c r="AB207" i="4" s="1"/>
  <c r="Y208" i="4"/>
  <c r="AA208" i="4" s="1"/>
  <c r="AB208" i="4" s="1"/>
  <c r="Y209" i="4"/>
  <c r="AA209" i="4" s="1"/>
  <c r="AB209" i="4" s="1"/>
  <c r="Y210" i="4"/>
  <c r="AA210" i="4" s="1"/>
  <c r="AB210" i="4" s="1"/>
  <c r="Y211" i="4"/>
  <c r="AA211" i="4" s="1"/>
  <c r="AB211" i="4" s="1"/>
  <c r="Y212" i="4"/>
  <c r="AA212" i="4" s="1"/>
  <c r="AB212" i="4" s="1"/>
  <c r="Y213" i="4"/>
  <c r="AA213" i="4" s="1"/>
  <c r="AB213" i="4" s="1"/>
  <c r="Y214" i="4"/>
  <c r="AA214" i="4" s="1"/>
  <c r="AB214" i="4" s="1"/>
  <c r="Y215" i="4"/>
  <c r="AA215" i="4" s="1"/>
  <c r="AB215" i="4" s="1"/>
  <c r="Y216" i="4"/>
  <c r="AA216" i="4" s="1"/>
  <c r="Y217" i="4"/>
  <c r="AA217" i="4" s="1"/>
  <c r="Y218" i="4"/>
  <c r="AA218" i="4" s="1"/>
  <c r="AB218" i="4" s="1"/>
  <c r="Y219" i="4"/>
  <c r="AA219" i="4" s="1"/>
  <c r="AB219" i="4" s="1"/>
  <c r="Y220" i="4"/>
  <c r="AA220" i="4" s="1"/>
  <c r="AB220" i="4" s="1"/>
  <c r="Y221" i="4"/>
  <c r="AA221" i="4" s="1"/>
  <c r="Y222" i="4"/>
  <c r="AA222" i="4" s="1"/>
  <c r="AB222" i="4" s="1"/>
  <c r="Y223" i="4"/>
  <c r="AA223" i="4" s="1"/>
  <c r="AB223" i="4" s="1"/>
  <c r="Y224" i="4"/>
  <c r="AA224" i="4" s="1"/>
  <c r="Y225" i="4"/>
  <c r="AA225" i="4" s="1"/>
  <c r="Y226" i="4"/>
  <c r="AA226" i="4" s="1"/>
  <c r="AB226" i="4" s="1"/>
  <c r="Y227" i="4"/>
  <c r="AA227" i="4" s="1"/>
  <c r="AB227" i="4" s="1"/>
  <c r="Y228" i="4"/>
  <c r="AA228" i="4" s="1"/>
  <c r="Y229" i="4"/>
  <c r="AA229" i="4" s="1"/>
  <c r="AB229" i="4" s="1"/>
  <c r="Y230" i="4"/>
  <c r="AA230" i="4" s="1"/>
  <c r="AB230" i="4" s="1"/>
  <c r="Y231" i="4"/>
  <c r="AA231" i="4" s="1"/>
  <c r="AB231" i="4" s="1"/>
  <c r="Y232" i="4"/>
  <c r="AA232" i="4" s="1"/>
  <c r="AB232" i="4" s="1"/>
  <c r="Y233" i="4"/>
  <c r="AA233" i="4" s="1"/>
  <c r="Y234" i="4"/>
  <c r="AA234" i="4" s="1"/>
  <c r="AB234" i="4" s="1"/>
  <c r="Y235" i="4"/>
  <c r="AA235" i="4" s="1"/>
  <c r="AB235" i="4" s="1"/>
  <c r="Y236" i="4"/>
  <c r="AA236" i="4" s="1"/>
  <c r="AB236" i="4" s="1"/>
  <c r="Y237" i="4"/>
  <c r="AA237" i="4" s="1"/>
  <c r="Y238" i="4"/>
  <c r="AA238" i="4" s="1"/>
  <c r="AB238" i="4" s="1"/>
  <c r="Y239" i="4"/>
  <c r="AA239" i="4" s="1"/>
  <c r="AB239" i="4" s="1"/>
  <c r="Y240" i="4"/>
  <c r="AA240" i="4" s="1"/>
  <c r="Y241" i="4"/>
  <c r="AA241" i="4" s="1"/>
  <c r="AB241" i="4" s="1"/>
  <c r="Y242" i="4"/>
  <c r="AA242" i="4" s="1"/>
  <c r="AB242" i="4" s="1"/>
  <c r="Y243" i="4"/>
  <c r="AA243" i="4" s="1"/>
  <c r="AB243" i="4" s="1"/>
  <c r="Y244" i="4"/>
  <c r="AA244" i="4" s="1"/>
  <c r="Y245" i="4"/>
  <c r="AA245" i="4" s="1"/>
  <c r="AB245" i="4" s="1"/>
  <c r="Y246" i="4"/>
  <c r="AA246" i="4" s="1"/>
  <c r="AB246" i="4" s="1"/>
  <c r="Y247" i="4"/>
  <c r="AA247" i="4" s="1"/>
  <c r="Y248" i="4"/>
  <c r="AA248" i="4" s="1"/>
  <c r="AB248" i="4" s="1"/>
  <c r="Y249" i="4"/>
  <c r="AA249" i="4" s="1"/>
  <c r="AB249" i="4" s="1"/>
  <c r="Y250" i="4"/>
  <c r="AA250" i="4" s="1"/>
  <c r="AB250" i="4" s="1"/>
  <c r="Y251" i="4"/>
  <c r="AA251" i="4" s="1"/>
  <c r="AB251" i="4" s="1"/>
  <c r="Y252" i="4"/>
  <c r="AA252" i="4" s="1"/>
  <c r="Y253" i="4"/>
  <c r="AA253" i="4" s="1"/>
  <c r="AB253" i="4" s="1"/>
  <c r="Y254" i="4"/>
  <c r="AA254" i="4" s="1"/>
  <c r="AB254" i="4" s="1"/>
  <c r="Y255" i="4"/>
  <c r="AA255" i="4" s="1"/>
  <c r="Y256" i="4"/>
  <c r="AA256" i="4" s="1"/>
  <c r="AB256" i="4" s="1"/>
  <c r="Y257" i="4"/>
  <c r="AA257" i="4" s="1"/>
  <c r="Y258" i="4"/>
  <c r="AA258" i="4" s="1"/>
  <c r="AB258" i="4" s="1"/>
  <c r="Y259" i="4"/>
  <c r="S259" i="4" s="1"/>
  <c r="Y260" i="4"/>
  <c r="AA260" i="4" s="1"/>
  <c r="Y261" i="4"/>
  <c r="AA261" i="4" s="1"/>
  <c r="AB261" i="4" s="1"/>
  <c r="Y262" i="4"/>
  <c r="AA262" i="4" s="1"/>
  <c r="AB262" i="4" s="1"/>
  <c r="Y263" i="4"/>
  <c r="AA263" i="4" s="1"/>
  <c r="AB263" i="4" s="1"/>
  <c r="Y264" i="4"/>
  <c r="AA264" i="4" s="1"/>
  <c r="AB264" i="4" s="1"/>
  <c r="Y265" i="4"/>
  <c r="AA265" i="4" s="1"/>
  <c r="AB265" i="4" s="1"/>
  <c r="Y266" i="4"/>
  <c r="AA266" i="4" s="1"/>
  <c r="AB266" i="4" s="1"/>
  <c r="Y267" i="4"/>
  <c r="S267" i="4" s="1"/>
  <c r="Y268" i="4"/>
  <c r="AA268" i="4" s="1"/>
  <c r="AB268" i="4" s="1"/>
  <c r="Y269" i="4"/>
  <c r="AA269" i="4" s="1"/>
  <c r="AB269" i="4" s="1"/>
  <c r="Y270" i="4"/>
  <c r="AA270" i="4" s="1"/>
  <c r="Y271" i="4"/>
  <c r="AA271" i="4" s="1"/>
  <c r="AB271" i="4" s="1"/>
  <c r="Y272" i="4"/>
  <c r="AA272" i="4" s="1"/>
  <c r="Y273" i="4"/>
  <c r="AA273" i="4" s="1"/>
  <c r="AB273" i="4" s="1"/>
  <c r="Y274" i="4"/>
  <c r="AA274" i="4" s="1"/>
  <c r="AB274" i="4" s="1"/>
  <c r="Y275" i="4"/>
  <c r="AA275" i="4" s="1"/>
  <c r="AB275" i="4" s="1"/>
  <c r="Y276" i="4"/>
  <c r="AA276" i="4" s="1"/>
  <c r="AB276" i="4" s="1"/>
  <c r="Y277" i="4"/>
  <c r="AA277" i="4" s="1"/>
  <c r="Y278" i="4"/>
  <c r="AA278" i="4" s="1"/>
  <c r="Y279" i="4"/>
  <c r="AA279" i="4" s="1"/>
  <c r="Y280" i="4"/>
  <c r="AA280" i="4" s="1"/>
  <c r="Y281" i="4"/>
  <c r="AA281" i="4" s="1"/>
  <c r="AB281" i="4" s="1"/>
  <c r="Y282" i="4"/>
  <c r="AA282" i="4" s="1"/>
  <c r="AB282" i="4" s="1"/>
  <c r="Y283" i="4"/>
  <c r="AA283" i="4" s="1"/>
  <c r="AB283" i="4" s="1"/>
  <c r="Y284" i="4"/>
  <c r="AA284" i="4" s="1"/>
  <c r="AB284" i="4" s="1"/>
  <c r="Y285" i="4"/>
  <c r="AA285" i="4" s="1"/>
  <c r="AB285" i="4" s="1"/>
  <c r="Y286" i="4"/>
  <c r="AA286" i="4" s="1"/>
  <c r="Y287" i="4"/>
  <c r="AA287" i="4" s="1"/>
  <c r="AB287" i="4" s="1"/>
  <c r="Y288" i="4"/>
  <c r="AA288" i="4" s="1"/>
  <c r="Y289" i="4"/>
  <c r="AA289" i="4" s="1"/>
  <c r="AB289" i="4" s="1"/>
  <c r="Y290" i="4"/>
  <c r="AA290" i="4" s="1"/>
  <c r="Y291" i="4"/>
  <c r="AA291" i="4" s="1"/>
  <c r="AB291" i="4" s="1"/>
  <c r="Y292" i="4"/>
  <c r="AA292" i="4" s="1"/>
  <c r="Y293" i="4"/>
  <c r="AA293" i="4" s="1"/>
  <c r="AB293" i="4" s="1"/>
  <c r="Y294" i="4"/>
  <c r="AA294" i="4" s="1"/>
  <c r="AB294" i="4" s="1"/>
  <c r="Y295" i="4"/>
  <c r="AA295" i="4" s="1"/>
  <c r="Y296" i="4"/>
  <c r="AA296" i="4" s="1"/>
  <c r="Y297" i="4"/>
  <c r="AA297" i="4" s="1"/>
  <c r="Y298" i="4"/>
  <c r="AA298" i="4" s="1"/>
  <c r="AB298" i="4" s="1"/>
  <c r="Y299" i="4"/>
  <c r="AA299" i="4" s="1"/>
  <c r="AB299" i="4" s="1"/>
  <c r="Y300" i="4"/>
  <c r="AA300" i="4" s="1"/>
  <c r="AB300" i="4" s="1"/>
  <c r="Y301" i="4"/>
  <c r="AA301" i="4" s="1"/>
  <c r="AB301" i="4" s="1"/>
  <c r="Y3" i="4"/>
  <c r="S3" i="4" s="1"/>
  <c r="Y4" i="4"/>
  <c r="Y5" i="4"/>
  <c r="Y6" i="4"/>
  <c r="Y2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2" i="4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2" i="5"/>
  <c r="I3" i="5"/>
  <c r="I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2" i="5"/>
  <c r="H3" i="5"/>
  <c r="H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5" i="5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O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I37" i="16"/>
  <c r="I38" i="16"/>
  <c r="I36" i="16"/>
  <c r="H37" i="16"/>
  <c r="H38" i="16"/>
  <c r="H36" i="16"/>
  <c r="G36" i="16"/>
  <c r="G37" i="16"/>
  <c r="G38" i="16"/>
  <c r="F37" i="16"/>
  <c r="F38" i="16"/>
  <c r="F36" i="16"/>
  <c r="E36" i="16"/>
  <c r="E37" i="16"/>
  <c r="E38" i="16"/>
  <c r="E52" i="8"/>
  <c r="E53" i="8"/>
  <c r="E54" i="8"/>
  <c r="E55" i="8"/>
  <c r="E51" i="8"/>
  <c r="E41" i="8"/>
  <c r="E42" i="8"/>
  <c r="E43" i="8"/>
  <c r="E44" i="8"/>
  <c r="E40" i="8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E49" i="23" l="1"/>
  <c r="E50" i="23"/>
  <c r="E48" i="23"/>
  <c r="AA11" i="4"/>
  <c r="AA18" i="4"/>
  <c r="AB18" i="4" s="1"/>
  <c r="S18" i="4"/>
  <c r="AA10" i="4"/>
  <c r="AB10" i="4" s="1"/>
  <c r="S10" i="4"/>
  <c r="S301" i="4"/>
  <c r="S293" i="4"/>
  <c r="S285" i="4"/>
  <c r="S277" i="4"/>
  <c r="S269" i="4"/>
  <c r="S261" i="4"/>
  <c r="S253" i="4"/>
  <c r="S245" i="4"/>
  <c r="S237" i="4"/>
  <c r="S229" i="4"/>
  <c r="S221" i="4"/>
  <c r="S213" i="4"/>
  <c r="S205" i="4"/>
  <c r="S197" i="4"/>
  <c r="S189" i="4"/>
  <c r="S181" i="4"/>
  <c r="S173" i="4"/>
  <c r="S165" i="4"/>
  <c r="S157" i="4"/>
  <c r="S122" i="4"/>
  <c r="S58" i="4"/>
  <c r="AA267" i="4"/>
  <c r="AB267" i="4" s="1"/>
  <c r="AA203" i="4"/>
  <c r="AB203" i="4" s="1"/>
  <c r="AA139" i="4"/>
  <c r="AB139" i="4" s="1"/>
  <c r="AA75" i="4"/>
  <c r="AB75" i="4" s="1"/>
  <c r="AA5" i="4"/>
  <c r="S5" i="4"/>
  <c r="AA152" i="4"/>
  <c r="AB152" i="4" s="1"/>
  <c r="S152" i="4"/>
  <c r="AA144" i="4"/>
  <c r="S144" i="4"/>
  <c r="AA136" i="4"/>
  <c r="AB136" i="4" s="1"/>
  <c r="S136" i="4"/>
  <c r="AA128" i="4"/>
  <c r="AB128" i="4" s="1"/>
  <c r="S128" i="4"/>
  <c r="AA4" i="4"/>
  <c r="S4" i="4"/>
  <c r="AA151" i="4"/>
  <c r="AB151" i="4" s="1"/>
  <c r="S151" i="4"/>
  <c r="AA143" i="4"/>
  <c r="S143" i="4"/>
  <c r="AA135" i="4"/>
  <c r="AB135" i="4" s="1"/>
  <c r="S135" i="4"/>
  <c r="AA150" i="4"/>
  <c r="AB150" i="4" s="1"/>
  <c r="S150" i="4"/>
  <c r="AA142" i="4"/>
  <c r="AB142" i="4" s="1"/>
  <c r="S142" i="4"/>
  <c r="AA141" i="4"/>
  <c r="AB141" i="4" s="1"/>
  <c r="S141" i="4"/>
  <c r="AA133" i="4"/>
  <c r="AB133" i="4" s="1"/>
  <c r="S133" i="4"/>
  <c r="AA148" i="4"/>
  <c r="AB148" i="4" s="1"/>
  <c r="S148" i="4"/>
  <c r="AA140" i="4"/>
  <c r="S140" i="4"/>
  <c r="AA132" i="4"/>
  <c r="S132" i="4"/>
  <c r="AA2" i="4"/>
  <c r="AB2" i="4" s="1"/>
  <c r="S2" i="4"/>
  <c r="AA6" i="4"/>
  <c r="AB6" i="4" s="1"/>
  <c r="S6" i="4"/>
  <c r="AA153" i="4"/>
  <c r="AB153" i="4" s="1"/>
  <c r="S153" i="4"/>
  <c r="AA145" i="4"/>
  <c r="AB145" i="4" s="1"/>
  <c r="S145" i="4"/>
  <c r="AA137" i="4"/>
  <c r="AB137" i="4" s="1"/>
  <c r="S137" i="4"/>
  <c r="AA129" i="4"/>
  <c r="AB129" i="4" s="1"/>
  <c r="S129" i="4"/>
  <c r="AA121" i="4"/>
  <c r="S121" i="4"/>
  <c r="AA113" i="4"/>
  <c r="AB113" i="4" s="1"/>
  <c r="S113" i="4"/>
  <c r="AA105" i="4"/>
  <c r="AB105" i="4" s="1"/>
  <c r="S105" i="4"/>
  <c r="AA97" i="4"/>
  <c r="AB97" i="4" s="1"/>
  <c r="S97" i="4"/>
  <c r="AA89" i="4"/>
  <c r="AB89" i="4" s="1"/>
  <c r="S89" i="4"/>
  <c r="AA81" i="4"/>
  <c r="AB81" i="4" s="1"/>
  <c r="S81" i="4"/>
  <c r="AA73" i="4"/>
  <c r="AB73" i="4" s="1"/>
  <c r="S73" i="4"/>
  <c r="AA65" i="4"/>
  <c r="S65" i="4"/>
  <c r="AA57" i="4"/>
  <c r="AB57" i="4" s="1"/>
  <c r="S57" i="4"/>
  <c r="AA49" i="4"/>
  <c r="S49" i="4"/>
  <c r="AA41" i="4"/>
  <c r="AB41" i="4" s="1"/>
  <c r="S41" i="4"/>
  <c r="AA33" i="4"/>
  <c r="AB33" i="4" s="1"/>
  <c r="S33" i="4"/>
  <c r="AA25" i="4"/>
  <c r="AB25" i="4" s="1"/>
  <c r="S25" i="4"/>
  <c r="AA17" i="4"/>
  <c r="S17" i="4"/>
  <c r="AA9" i="4"/>
  <c r="AB9" i="4" s="1"/>
  <c r="S9" i="4"/>
  <c r="S300" i="4"/>
  <c r="S292" i="4"/>
  <c r="S284" i="4"/>
  <c r="S276" i="4"/>
  <c r="S268" i="4"/>
  <c r="S260" i="4"/>
  <c r="S252" i="4"/>
  <c r="S244" i="4"/>
  <c r="S236" i="4"/>
  <c r="S228" i="4"/>
  <c r="S220" i="4"/>
  <c r="S212" i="4"/>
  <c r="S204" i="4"/>
  <c r="S196" i="4"/>
  <c r="S188" i="4"/>
  <c r="S180" i="4"/>
  <c r="S172" i="4"/>
  <c r="S164" i="4"/>
  <c r="S156" i="4"/>
  <c r="S114" i="4"/>
  <c r="S50" i="4"/>
  <c r="AA259" i="4"/>
  <c r="AA195" i="4"/>
  <c r="AB195" i="4" s="1"/>
  <c r="AA131" i="4"/>
  <c r="AB131" i="4" s="1"/>
  <c r="AA67" i="4"/>
  <c r="AB67" i="4" s="1"/>
  <c r="AA3" i="4"/>
  <c r="AA120" i="4"/>
  <c r="AB120" i="4" s="1"/>
  <c r="S120" i="4"/>
  <c r="AA112" i="4"/>
  <c r="AB112" i="4" s="1"/>
  <c r="S112" i="4"/>
  <c r="AA104" i="4"/>
  <c r="AB104" i="4" s="1"/>
  <c r="S104" i="4"/>
  <c r="AA96" i="4"/>
  <c r="AB96" i="4" s="1"/>
  <c r="S96" i="4"/>
  <c r="AA88" i="4"/>
  <c r="AB88" i="4" s="1"/>
  <c r="S88" i="4"/>
  <c r="AA80" i="4"/>
  <c r="AB80" i="4" s="1"/>
  <c r="S80" i="4"/>
  <c r="AA72" i="4"/>
  <c r="AB72" i="4" s="1"/>
  <c r="S72" i="4"/>
  <c r="AA64" i="4"/>
  <c r="S64" i="4"/>
  <c r="AA56" i="4"/>
  <c r="AB56" i="4" s="1"/>
  <c r="S56" i="4"/>
  <c r="AA48" i="4"/>
  <c r="AB48" i="4" s="1"/>
  <c r="S48" i="4"/>
  <c r="AA40" i="4"/>
  <c r="AB40" i="4" s="1"/>
  <c r="S40" i="4"/>
  <c r="AA32" i="4"/>
  <c r="AB32" i="4" s="1"/>
  <c r="S32" i="4"/>
  <c r="AA24" i="4"/>
  <c r="AB24" i="4" s="1"/>
  <c r="S24" i="4"/>
  <c r="AA16" i="4"/>
  <c r="AB16" i="4" s="1"/>
  <c r="S16" i="4"/>
  <c r="AA8" i="4"/>
  <c r="S8" i="4"/>
  <c r="S299" i="4"/>
  <c r="S291" i="4"/>
  <c r="S283" i="4"/>
  <c r="S275" i="4"/>
  <c r="S251" i="4"/>
  <c r="S243" i="4"/>
  <c r="S235" i="4"/>
  <c r="S227" i="4"/>
  <c r="S219" i="4"/>
  <c r="S211" i="4"/>
  <c r="S187" i="4"/>
  <c r="S179" i="4"/>
  <c r="S171" i="4"/>
  <c r="S163" i="4"/>
  <c r="S155" i="4"/>
  <c r="S106" i="4"/>
  <c r="S42" i="4"/>
  <c r="AA123" i="4"/>
  <c r="AB123" i="4" s="1"/>
  <c r="AA59" i="4"/>
  <c r="AB59" i="4" s="1"/>
  <c r="AA127" i="4"/>
  <c r="AB127" i="4" s="1"/>
  <c r="S127" i="4"/>
  <c r="AA119" i="4"/>
  <c r="AB119" i="4" s="1"/>
  <c r="S119" i="4"/>
  <c r="AA111" i="4"/>
  <c r="S111" i="4"/>
  <c r="AA103" i="4"/>
  <c r="AB103" i="4" s="1"/>
  <c r="S103" i="4"/>
  <c r="AA95" i="4"/>
  <c r="AB95" i="4" s="1"/>
  <c r="S95" i="4"/>
  <c r="AA87" i="4"/>
  <c r="AB87" i="4" s="1"/>
  <c r="S87" i="4"/>
  <c r="AA79" i="4"/>
  <c r="S79" i="4"/>
  <c r="AA71" i="4"/>
  <c r="AB71" i="4" s="1"/>
  <c r="S71" i="4"/>
  <c r="AA63" i="4"/>
  <c r="AB63" i="4" s="1"/>
  <c r="S63" i="4"/>
  <c r="AA55" i="4"/>
  <c r="S55" i="4"/>
  <c r="AA47" i="4"/>
  <c r="AB47" i="4" s="1"/>
  <c r="S47" i="4"/>
  <c r="AA39" i="4"/>
  <c r="AB39" i="4" s="1"/>
  <c r="S39" i="4"/>
  <c r="AA31" i="4"/>
  <c r="AB31" i="4" s="1"/>
  <c r="S31" i="4"/>
  <c r="AA23" i="4"/>
  <c r="AB23" i="4" s="1"/>
  <c r="S23" i="4"/>
  <c r="AA15" i="4"/>
  <c r="AB15" i="4" s="1"/>
  <c r="S15" i="4"/>
  <c r="AA7" i="4"/>
  <c r="AB7" i="4" s="1"/>
  <c r="S7" i="4"/>
  <c r="S298" i="4"/>
  <c r="S290" i="4"/>
  <c r="S282" i="4"/>
  <c r="S274" i="4"/>
  <c r="S266" i="4"/>
  <c r="S258" i="4"/>
  <c r="S250" i="4"/>
  <c r="S242" i="4"/>
  <c r="S234" i="4"/>
  <c r="S226" i="4"/>
  <c r="S218" i="4"/>
  <c r="S210" i="4"/>
  <c r="S202" i="4"/>
  <c r="S194" i="4"/>
  <c r="S186" i="4"/>
  <c r="S178" i="4"/>
  <c r="S170" i="4"/>
  <c r="S162" i="4"/>
  <c r="S154" i="4"/>
  <c r="S98" i="4"/>
  <c r="S34" i="4"/>
  <c r="AA115" i="4"/>
  <c r="AB115" i="4" s="1"/>
  <c r="AA51" i="4"/>
  <c r="AB51" i="4" s="1"/>
  <c r="AA134" i="4"/>
  <c r="AB134" i="4" s="1"/>
  <c r="S134" i="4"/>
  <c r="AA126" i="4"/>
  <c r="AB126" i="4" s="1"/>
  <c r="S126" i="4"/>
  <c r="AA118" i="4"/>
  <c r="AB118" i="4" s="1"/>
  <c r="S118" i="4"/>
  <c r="AA110" i="4"/>
  <c r="AB110" i="4" s="1"/>
  <c r="S110" i="4"/>
  <c r="AA102" i="4"/>
  <c r="AB102" i="4" s="1"/>
  <c r="S102" i="4"/>
  <c r="AA94" i="4"/>
  <c r="AB94" i="4" s="1"/>
  <c r="S94" i="4"/>
  <c r="AA86" i="4"/>
  <c r="AB86" i="4" s="1"/>
  <c r="S86" i="4"/>
  <c r="AA78" i="4"/>
  <c r="AB78" i="4" s="1"/>
  <c r="S78" i="4"/>
  <c r="AA70" i="4"/>
  <c r="S70" i="4"/>
  <c r="AA62" i="4"/>
  <c r="AB62" i="4" s="1"/>
  <c r="S62" i="4"/>
  <c r="AA54" i="4"/>
  <c r="AB54" i="4" s="1"/>
  <c r="S54" i="4"/>
  <c r="AA46" i="4"/>
  <c r="S46" i="4"/>
  <c r="AA38" i="4"/>
  <c r="AB38" i="4" s="1"/>
  <c r="S38" i="4"/>
  <c r="AA30" i="4"/>
  <c r="S30" i="4"/>
  <c r="AA22" i="4"/>
  <c r="AB22" i="4" s="1"/>
  <c r="S22" i="4"/>
  <c r="AA14" i="4"/>
  <c r="AB14" i="4" s="1"/>
  <c r="S14" i="4"/>
  <c r="S297" i="4"/>
  <c r="S289" i="4"/>
  <c r="S281" i="4"/>
  <c r="S273" i="4"/>
  <c r="S265" i="4"/>
  <c r="S257" i="4"/>
  <c r="S249" i="4"/>
  <c r="S241" i="4"/>
  <c r="S233" i="4"/>
  <c r="S225" i="4"/>
  <c r="S217" i="4"/>
  <c r="S209" i="4"/>
  <c r="S201" i="4"/>
  <c r="S193" i="4"/>
  <c r="S185" i="4"/>
  <c r="S177" i="4"/>
  <c r="S169" i="4"/>
  <c r="S161" i="4"/>
  <c r="S149" i="4"/>
  <c r="S90" i="4"/>
  <c r="S26" i="4"/>
  <c r="AA107" i="4"/>
  <c r="AA43" i="4"/>
  <c r="AA125" i="4"/>
  <c r="AB125" i="4" s="1"/>
  <c r="S125" i="4"/>
  <c r="AA117" i="4"/>
  <c r="AB117" i="4" s="1"/>
  <c r="S117" i="4"/>
  <c r="AA109" i="4"/>
  <c r="AB109" i="4" s="1"/>
  <c r="S109" i="4"/>
  <c r="AA101" i="4"/>
  <c r="AB101" i="4" s="1"/>
  <c r="S101" i="4"/>
  <c r="AA93" i="4"/>
  <c r="AB93" i="4" s="1"/>
  <c r="S93" i="4"/>
  <c r="AA85" i="4"/>
  <c r="AB85" i="4" s="1"/>
  <c r="S85" i="4"/>
  <c r="AA77" i="4"/>
  <c r="S77" i="4"/>
  <c r="AA69" i="4"/>
  <c r="AB69" i="4" s="1"/>
  <c r="S69" i="4"/>
  <c r="AA61" i="4"/>
  <c r="AB61" i="4" s="1"/>
  <c r="S61" i="4"/>
  <c r="AA53" i="4"/>
  <c r="AB53" i="4" s="1"/>
  <c r="S53" i="4"/>
  <c r="AA45" i="4"/>
  <c r="AB45" i="4" s="1"/>
  <c r="S45" i="4"/>
  <c r="AA37" i="4"/>
  <c r="AB37" i="4" s="1"/>
  <c r="S37" i="4"/>
  <c r="AA29" i="4"/>
  <c r="AB29" i="4" s="1"/>
  <c r="S29" i="4"/>
  <c r="AA21" i="4"/>
  <c r="S21" i="4"/>
  <c r="AA13" i="4"/>
  <c r="AB13" i="4" s="1"/>
  <c r="S13" i="4"/>
  <c r="S296" i="4"/>
  <c r="S288" i="4"/>
  <c r="S280" i="4"/>
  <c r="S272" i="4"/>
  <c r="S264" i="4"/>
  <c r="S256" i="4"/>
  <c r="S248" i="4"/>
  <c r="S240" i="4"/>
  <c r="S232" i="4"/>
  <c r="S224" i="4"/>
  <c r="S216" i="4"/>
  <c r="S208" i="4"/>
  <c r="S200" i="4"/>
  <c r="S192" i="4"/>
  <c r="S184" i="4"/>
  <c r="S176" i="4"/>
  <c r="S168" i="4"/>
  <c r="S160" i="4"/>
  <c r="S146" i="4"/>
  <c r="S82" i="4"/>
  <c r="S19" i="4"/>
  <c r="AA99" i="4"/>
  <c r="AB99" i="4" s="1"/>
  <c r="AA35" i="4"/>
  <c r="AB35" i="4" s="1"/>
  <c r="AA124" i="4"/>
  <c r="AB124" i="4" s="1"/>
  <c r="S124" i="4"/>
  <c r="AA116" i="4"/>
  <c r="AB116" i="4" s="1"/>
  <c r="S116" i="4"/>
  <c r="AA108" i="4"/>
  <c r="S108" i="4"/>
  <c r="AA100" i="4"/>
  <c r="AB100" i="4" s="1"/>
  <c r="S100" i="4"/>
  <c r="AA92" i="4"/>
  <c r="AB92" i="4" s="1"/>
  <c r="S92" i="4"/>
  <c r="AA84" i="4"/>
  <c r="AB84" i="4" s="1"/>
  <c r="S84" i="4"/>
  <c r="AA76" i="4"/>
  <c r="AB76" i="4" s="1"/>
  <c r="S76" i="4"/>
  <c r="AA68" i="4"/>
  <c r="AB68" i="4" s="1"/>
  <c r="S68" i="4"/>
  <c r="AA60" i="4"/>
  <c r="AB60" i="4" s="1"/>
  <c r="S60" i="4"/>
  <c r="AA52" i="4"/>
  <c r="AB52" i="4" s="1"/>
  <c r="S52" i="4"/>
  <c r="AA44" i="4"/>
  <c r="AB44" i="4" s="1"/>
  <c r="S44" i="4"/>
  <c r="AA36" i="4"/>
  <c r="AB36" i="4" s="1"/>
  <c r="S36" i="4"/>
  <c r="AA28" i="4"/>
  <c r="AB28" i="4" s="1"/>
  <c r="S28" i="4"/>
  <c r="AA20" i="4"/>
  <c r="S20" i="4"/>
  <c r="AA12" i="4"/>
  <c r="AB12" i="4" s="1"/>
  <c r="S12" i="4"/>
  <c r="S295" i="4"/>
  <c r="S287" i="4"/>
  <c r="S279" i="4"/>
  <c r="S271" i="4"/>
  <c r="S263" i="4"/>
  <c r="S255" i="4"/>
  <c r="S247" i="4"/>
  <c r="S239" i="4"/>
  <c r="S231" i="4"/>
  <c r="S223" i="4"/>
  <c r="S215" i="4"/>
  <c r="S207" i="4"/>
  <c r="S199" i="4"/>
  <c r="S191" i="4"/>
  <c r="S183" i="4"/>
  <c r="S175" i="4"/>
  <c r="S167" i="4"/>
  <c r="S159" i="4"/>
  <c r="S138" i="4"/>
  <c r="S74" i="4"/>
  <c r="AA91" i="4"/>
  <c r="AB91" i="4" s="1"/>
  <c r="AA27" i="4"/>
  <c r="AB27" i="4" s="1"/>
  <c r="S294" i="4"/>
  <c r="S286" i="4"/>
  <c r="S278" i="4"/>
  <c r="S270" i="4"/>
  <c r="S262" i="4"/>
  <c r="S254" i="4"/>
  <c r="S246" i="4"/>
  <c r="S238" i="4"/>
  <c r="S230" i="4"/>
  <c r="S222" i="4"/>
  <c r="S214" i="4"/>
  <c r="S206" i="4"/>
  <c r="S198" i="4"/>
  <c r="S190" i="4"/>
  <c r="S182" i="4"/>
  <c r="S174" i="4"/>
  <c r="S166" i="4"/>
  <c r="S158" i="4"/>
  <c r="S130" i="4"/>
  <c r="S66" i="4"/>
  <c r="AA147" i="4"/>
  <c r="AB147" i="4" s="1"/>
  <c r="AA83" i="4"/>
  <c r="AB83" i="4" s="1"/>
  <c r="K25" i="23"/>
  <c r="F36" i="23"/>
  <c r="F33" i="23"/>
  <c r="F34" i="23"/>
  <c r="F35" i="23"/>
  <c r="K24" i="23"/>
  <c r="K23" i="23"/>
  <c r="O26" i="4"/>
  <c r="O58" i="4"/>
  <c r="O91" i="4"/>
  <c r="O66" i="4"/>
  <c r="O114" i="4"/>
  <c r="O14" i="4"/>
  <c r="O46" i="4"/>
  <c r="O70" i="4"/>
  <c r="O6" i="4"/>
  <c r="O38" i="4"/>
  <c r="O62" i="4"/>
  <c r="O30" i="4"/>
  <c r="O78" i="4"/>
  <c r="O22" i="4"/>
  <c r="O54" i="4"/>
  <c r="O95" i="4"/>
  <c r="O11" i="4"/>
  <c r="O43" i="4"/>
  <c r="O75" i="4"/>
  <c r="O96" i="4"/>
  <c r="O103" i="4"/>
  <c r="O111" i="4"/>
  <c r="O118" i="4"/>
  <c r="O126" i="4"/>
  <c r="O134" i="4"/>
  <c r="O142" i="4"/>
  <c r="O150" i="4"/>
  <c r="O158" i="4"/>
  <c r="O190" i="4"/>
  <c r="O222" i="4"/>
  <c r="O23" i="4"/>
  <c r="O110" i="4"/>
  <c r="O18" i="4"/>
  <c r="O82" i="4"/>
  <c r="O159" i="4"/>
  <c r="O263" i="4"/>
  <c r="O88" i="4"/>
  <c r="O119" i="4"/>
  <c r="O51" i="4"/>
  <c r="O55" i="4"/>
  <c r="O50" i="4"/>
  <c r="O104" i="4"/>
  <c r="O127" i="4"/>
  <c r="O83" i="4"/>
  <c r="O120" i="4"/>
  <c r="O7" i="4"/>
  <c r="O71" i="4"/>
  <c r="O10" i="4"/>
  <c r="O112" i="4"/>
  <c r="O151" i="4"/>
  <c r="O128" i="4"/>
  <c r="O106" i="4"/>
  <c r="O27" i="4"/>
  <c r="O59" i="4"/>
  <c r="O92" i="4"/>
  <c r="O138" i="4"/>
  <c r="O146" i="4"/>
  <c r="O154" i="4"/>
  <c r="O162" i="4"/>
  <c r="O170" i="4"/>
  <c r="O178" i="4"/>
  <c r="O186" i="4"/>
  <c r="O194" i="4"/>
  <c r="O202" i="4"/>
  <c r="O210" i="4"/>
  <c r="O218" i="4"/>
  <c r="O226" i="4"/>
  <c r="O234" i="4"/>
  <c r="O242" i="4"/>
  <c r="O42" i="4"/>
  <c r="O74" i="4"/>
  <c r="O102" i="4"/>
  <c r="O31" i="4"/>
  <c r="O143" i="4"/>
  <c r="O34" i="4"/>
  <c r="O100" i="4"/>
  <c r="O155" i="4"/>
  <c r="O63" i="4"/>
  <c r="O135" i="4"/>
  <c r="O19" i="4"/>
  <c r="O136" i="4"/>
  <c r="O39" i="4"/>
  <c r="O2" i="4"/>
  <c r="O15" i="4"/>
  <c r="O47" i="4"/>
  <c r="O79" i="4"/>
  <c r="O86" i="4"/>
  <c r="O115" i="4"/>
  <c r="O147" i="4"/>
  <c r="O238" i="4"/>
  <c r="O35" i="4"/>
  <c r="O67" i="4"/>
  <c r="O182" i="4"/>
  <c r="O94" i="4"/>
  <c r="O124" i="4"/>
  <c r="O271" i="4"/>
  <c r="O87" i="4"/>
  <c r="O256" i="4"/>
  <c r="O280" i="4"/>
  <c r="O249" i="4"/>
  <c r="O265" i="4"/>
  <c r="O273" i="4"/>
  <c r="O281" i="4"/>
  <c r="O297" i="4"/>
  <c r="O290" i="4"/>
  <c r="O132" i="4"/>
  <c r="O247" i="4"/>
  <c r="O264" i="4"/>
  <c r="O4" i="4"/>
  <c r="O8" i="4"/>
  <c r="O12" i="4"/>
  <c r="O16" i="4"/>
  <c r="O20" i="4"/>
  <c r="O24" i="4"/>
  <c r="O28" i="4"/>
  <c r="O32" i="4"/>
  <c r="O36" i="4"/>
  <c r="O40" i="4"/>
  <c r="O44" i="4"/>
  <c r="O48" i="4"/>
  <c r="O52" i="4"/>
  <c r="O56" i="4"/>
  <c r="O60" i="4"/>
  <c r="O64" i="4"/>
  <c r="O68" i="4"/>
  <c r="O72" i="4"/>
  <c r="O76" i="4"/>
  <c r="O80" i="4"/>
  <c r="O84" i="4"/>
  <c r="O98" i="4"/>
  <c r="O107" i="4"/>
  <c r="O116" i="4"/>
  <c r="O130" i="4"/>
  <c r="O139" i="4"/>
  <c r="O166" i="4"/>
  <c r="O198" i="4"/>
  <c r="O230" i="4"/>
  <c r="O299" i="4"/>
  <c r="O292" i="4"/>
  <c r="O214" i="4"/>
  <c r="O279" i="4"/>
  <c r="O9" i="4"/>
  <c r="O17" i="4"/>
  <c r="O25" i="4"/>
  <c r="O37" i="4"/>
  <c r="O45" i="4"/>
  <c r="O53" i="4"/>
  <c r="O61" i="4"/>
  <c r="O69" i="4"/>
  <c r="O73" i="4"/>
  <c r="O81" i="4"/>
  <c r="O108" i="4"/>
  <c r="O122" i="4"/>
  <c r="O131" i="4"/>
  <c r="O206" i="4"/>
  <c r="O301" i="4"/>
  <c r="O5" i="4"/>
  <c r="O13" i="4"/>
  <c r="O21" i="4"/>
  <c r="O29" i="4"/>
  <c r="O33" i="4"/>
  <c r="O41" i="4"/>
  <c r="O49" i="4"/>
  <c r="O57" i="4"/>
  <c r="O65" i="4"/>
  <c r="O77" i="4"/>
  <c r="O90" i="4"/>
  <c r="O99" i="4"/>
  <c r="O140" i="4"/>
  <c r="O174" i="4"/>
  <c r="O293" i="4"/>
  <c r="O277" i="4"/>
  <c r="O123" i="4"/>
  <c r="O255" i="4"/>
  <c r="O165" i="4"/>
  <c r="O272" i="4"/>
  <c r="O295" i="4"/>
  <c r="O248" i="4"/>
  <c r="O288" i="4"/>
  <c r="O3" i="4"/>
  <c r="O257" i="4"/>
  <c r="O289" i="4"/>
  <c r="O163" i="4"/>
  <c r="O171" i="4"/>
  <c r="O179" i="4"/>
  <c r="O187" i="4"/>
  <c r="O195" i="4"/>
  <c r="O203" i="4"/>
  <c r="O211" i="4"/>
  <c r="O215" i="4"/>
  <c r="O219" i="4"/>
  <c r="O223" i="4"/>
  <c r="O227" i="4"/>
  <c r="O235" i="4"/>
  <c r="O239" i="4"/>
  <c r="O243" i="4"/>
  <c r="O252" i="4"/>
  <c r="O261" i="4"/>
  <c r="O275" i="4"/>
  <c r="O284" i="4"/>
  <c r="O167" i="4"/>
  <c r="O175" i="4"/>
  <c r="O183" i="4"/>
  <c r="O191" i="4"/>
  <c r="O199" i="4"/>
  <c r="O207" i="4"/>
  <c r="O231" i="4"/>
  <c r="O298" i="4"/>
  <c r="O148" i="4"/>
  <c r="O156" i="4"/>
  <c r="O164" i="4"/>
  <c r="O172" i="4"/>
  <c r="O180" i="4"/>
  <c r="O192" i="4"/>
  <c r="O200" i="4"/>
  <c r="O208" i="4"/>
  <c r="O212" i="4"/>
  <c r="O216" i="4"/>
  <c r="O220" i="4"/>
  <c r="O224" i="4"/>
  <c r="O228" i="4"/>
  <c r="O232" i="4"/>
  <c r="O240" i="4"/>
  <c r="O244" i="4"/>
  <c r="O253" i="4"/>
  <c r="O267" i="4"/>
  <c r="O276" i="4"/>
  <c r="O285" i="4"/>
  <c r="O144" i="4"/>
  <c r="O152" i="4"/>
  <c r="O160" i="4"/>
  <c r="O168" i="4"/>
  <c r="O176" i="4"/>
  <c r="O184" i="4"/>
  <c r="O188" i="4"/>
  <c r="O196" i="4"/>
  <c r="O204" i="4"/>
  <c r="O236" i="4"/>
  <c r="O89" i="4"/>
  <c r="O97" i="4"/>
  <c r="O105" i="4"/>
  <c r="O113" i="4"/>
  <c r="O125" i="4"/>
  <c r="O129" i="4"/>
  <c r="O137" i="4"/>
  <c r="O141" i="4"/>
  <c r="O145" i="4"/>
  <c r="O149" i="4"/>
  <c r="O153" i="4"/>
  <c r="O161" i="4"/>
  <c r="O169" i="4"/>
  <c r="O173" i="4"/>
  <c r="O177" i="4"/>
  <c r="O181" i="4"/>
  <c r="O185" i="4"/>
  <c r="O189" i="4"/>
  <c r="O193" i="4"/>
  <c r="O197" i="4"/>
  <c r="O201" i="4"/>
  <c r="O205" i="4"/>
  <c r="O209" i="4"/>
  <c r="O213" i="4"/>
  <c r="O217" i="4"/>
  <c r="O221" i="4"/>
  <c r="O225" i="4"/>
  <c r="O229" i="4"/>
  <c r="O233" i="4"/>
  <c r="O237" i="4"/>
  <c r="O241" i="4"/>
  <c r="O245" i="4"/>
  <c r="O259" i="4"/>
  <c r="O268" i="4"/>
  <c r="O85" i="4"/>
  <c r="O93" i="4"/>
  <c r="O101" i="4"/>
  <c r="O109" i="4"/>
  <c r="O117" i="4"/>
  <c r="O121" i="4"/>
  <c r="O133" i="4"/>
  <c r="O157" i="4"/>
  <c r="O294" i="4"/>
  <c r="O287" i="4"/>
  <c r="O291" i="4"/>
  <c r="O300" i="4"/>
  <c r="O251" i="4"/>
  <c r="O260" i="4"/>
  <c r="O269" i="4"/>
  <c r="O283" i="4"/>
  <c r="O296" i="4"/>
  <c r="O246" i="4"/>
  <c r="O250" i="4"/>
  <c r="O254" i="4"/>
  <c r="O258" i="4"/>
  <c r="O262" i="4"/>
  <c r="O266" i="4"/>
  <c r="O270" i="4"/>
  <c r="O274" i="4"/>
  <c r="O278" i="4"/>
  <c r="O282" i="4"/>
  <c r="O286" i="4"/>
  <c r="AB177" i="4"/>
  <c r="AB149" i="4"/>
  <c r="AB49" i="4"/>
  <c r="AB179" i="4"/>
  <c r="AB4" i="4"/>
  <c r="AB198" i="4"/>
  <c r="AB197" i="4"/>
  <c r="AB228" i="4"/>
  <c r="AB90" i="4"/>
  <c r="AB244" i="4"/>
  <c r="AB224" i="4"/>
  <c r="AB217" i="4"/>
  <c r="AB121" i="4"/>
  <c r="AB3" i="4"/>
  <c r="AB82" i="4"/>
  <c r="AB17" i="4"/>
  <c r="AB259" i="4"/>
  <c r="AB46" i="4"/>
  <c r="AB240" i="4"/>
  <c r="AB216" i="4"/>
  <c r="AB140" i="4"/>
  <c r="AB185" i="4"/>
  <c r="AB108" i="4"/>
  <c r="AB79" i="4"/>
  <c r="AB65" i="4"/>
  <c r="AB296" i="4"/>
  <c r="AB132" i="4"/>
  <c r="AB191" i="4"/>
  <c r="AB30" i="4"/>
  <c r="AB286" i="4"/>
  <c r="AB43" i="4"/>
  <c r="AB64" i="4"/>
  <c r="AB70" i="4"/>
  <c r="AB225" i="4"/>
  <c r="AB295" i="4"/>
  <c r="AB280" i="4"/>
  <c r="AB233" i="4"/>
  <c r="AB144" i="4"/>
  <c r="AB272" i="4"/>
  <c r="AB187" i="4"/>
  <c r="AB279" i="4"/>
  <c r="AB257" i="4"/>
  <c r="AB107" i="4"/>
  <c r="AB158" i="4"/>
  <c r="AB199" i="4"/>
  <c r="AB260" i="4"/>
  <c r="AB5" i="4"/>
  <c r="AB237" i="4"/>
  <c r="AB297" i="4"/>
  <c r="AB292" i="4"/>
  <c r="AB8" i="4"/>
  <c r="AB205" i="4"/>
  <c r="AB168" i="4"/>
  <c r="AB159" i="4"/>
  <c r="AB111" i="4"/>
  <c r="AB77" i="4"/>
  <c r="AB55" i="4"/>
  <c r="AB255" i="4"/>
  <c r="AB288" i="4"/>
  <c r="AB143" i="4"/>
  <c r="AB11" i="4"/>
  <c r="AB21" i="4"/>
  <c r="AB200" i="4"/>
  <c r="AB278" i="4"/>
  <c r="AB252" i="4"/>
  <c r="AB247" i="4"/>
  <c r="AB277" i="4"/>
  <c r="AB20" i="4"/>
  <c r="AB270" i="4"/>
  <c r="AB221" i="4"/>
  <c r="AB29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16EC2C-021A-4D6F-AF53-98FCC51853E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<sst xmlns="http://schemas.openxmlformats.org/spreadsheetml/2006/main" count="6845" uniqueCount="587">
  <si>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</si>
  <si>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</si>
  <si>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</si>
  <si>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</si>
  <si>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</si>
  <si>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</si>
  <si>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</si>
  <si>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</si>
  <si>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</si>
  <si>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</si>
  <si>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</si>
  <si>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</si>
  <si>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</si>
  <si>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</si>
  <si>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</si>
  <si>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</si>
  <si>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</si>
  <si>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</si>
  <si>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</si>
  <si>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</si>
  <si>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</si>
  <si>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</si>
  <si>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</si>
  <si>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</si>
  <si>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</si>
  <si>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</si>
  <si>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</si>
  <si>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</si>
  <si>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</si>
  <si>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</si>
  <si>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</si>
  <si>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</si>
  <si>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</si>
  <si>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</si>
  <si>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</si>
  <si>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</si>
  <si>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</si>
  <si>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</si>
  <si>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</si>
  <si>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</si>
  <si>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</si>
  <si>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</si>
  <si>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</si>
  <si>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</si>
  <si>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</si>
  <si>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</si>
  <si>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</si>
  <si>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</si>
  <si>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</si>
  <si>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</si>
  <si>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</si>
  <si>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</si>
  <si>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</si>
  <si>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</si>
  <si>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</si>
  <si>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</si>
  <si>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</si>
  <si>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</si>
  <si>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</si>
  <si>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</si>
  <si>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</si>
  <si>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</si>
  <si>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</si>
  <si>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</si>
  <si>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</si>
  <si>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</si>
  <si>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</si>
  <si>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</si>
  <si>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</si>
  <si>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</si>
  <si>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</si>
  <si>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</si>
  <si>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</si>
  <si>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</si>
  <si>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</si>
  <si>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</si>
  <si>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</si>
  <si>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</si>
  <si>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</si>
  <si>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</si>
  <si>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</si>
  <si>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</si>
  <si>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</si>
  <si>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</si>
  <si>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</si>
  <si>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</si>
  <si>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</si>
  <si>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</si>
  <si>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</si>
  <si>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</si>
  <si>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</si>
  <si>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</si>
  <si>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</si>
  <si>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</si>
  <si>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</si>
  <si>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</si>
  <si>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</si>
  <si>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</si>
  <si>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</si>
  <si>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</si>
  <si>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</si>
  <si>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</si>
  <si>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</si>
  <si>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</si>
  <si>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</si>
  <si>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</si>
  <si>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</si>
  <si>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</si>
  <si>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</si>
  <si>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</si>
  <si>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</si>
  <si>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</si>
  <si>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</si>
  <si>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</si>
  <si>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</si>
  <si>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</si>
  <si>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</si>
  <si>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</si>
  <si>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</si>
  <si>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</si>
  <si>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</si>
  <si>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</si>
  <si>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</si>
  <si>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</si>
  <si>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</si>
  <si>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</si>
  <si>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</si>
  <si>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</si>
  <si>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</si>
  <si>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</si>
  <si>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</si>
  <si>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</si>
  <si>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</si>
  <si>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</si>
  <si>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</si>
  <si>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</si>
  <si>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</si>
  <si>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</si>
  <si>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</si>
  <si>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</si>
  <si>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</si>
  <si>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</si>
  <si>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</si>
  <si>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</si>
  <si>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</si>
  <si>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</si>
  <si>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</si>
  <si>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</si>
  <si>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</si>
  <si>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</si>
  <si>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</si>
  <si>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</si>
  <si>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</si>
  <si>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</si>
  <si>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</si>
  <si>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</si>
  <si>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</si>
  <si>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</si>
  <si>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</si>
  <si>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</si>
  <si>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</si>
  <si>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</si>
  <si>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</si>
  <si>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</si>
  <si>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</si>
  <si>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</si>
  <si>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</si>
  <si>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</si>
  <si>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</si>
  <si>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</si>
  <si>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</si>
  <si>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</si>
  <si>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</si>
  <si>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</si>
  <si>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</si>
  <si>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</si>
  <si>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</si>
  <si>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</si>
  <si>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</si>
  <si>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</si>
  <si>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</si>
  <si>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</si>
  <si>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</si>
  <si>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</si>
  <si>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</si>
  <si>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</si>
  <si>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</si>
  <si>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</si>
  <si>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</si>
  <si>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</si>
  <si>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</si>
  <si>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</si>
  <si>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</si>
  <si>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</si>
  <si>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</si>
  <si>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</si>
  <si>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</si>
  <si>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</si>
  <si>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</si>
  <si>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</si>
  <si>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</si>
  <si>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</si>
  <si>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</si>
  <si>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</si>
  <si>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</si>
  <si>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</si>
  <si>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</si>
  <si>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</si>
  <si>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</si>
  <si>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</si>
  <si>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</si>
  <si>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</si>
  <si>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</si>
  <si>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</si>
  <si>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</si>
  <si>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</si>
  <si>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</si>
  <si>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</si>
  <si>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</si>
  <si>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</si>
  <si>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</si>
  <si>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</si>
  <si>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</si>
  <si>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</si>
  <si>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</si>
  <si>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</si>
  <si>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</si>
  <si>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</si>
  <si>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</si>
  <si>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</si>
  <si>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</si>
  <si>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</si>
  <si>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</si>
  <si>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</si>
  <si>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</si>
  <si>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</si>
  <si>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</si>
  <si>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</si>
  <si>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</si>
  <si>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</si>
  <si>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</si>
  <si>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</si>
  <si>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</si>
  <si>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</si>
  <si>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</si>
  <si>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</si>
  <si>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</si>
  <si>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</si>
  <si>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</si>
  <si>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</si>
  <si>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</si>
  <si>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</si>
  <si>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</si>
  <si>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</si>
  <si>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</si>
  <si>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</si>
  <si>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</si>
  <si>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</si>
  <si>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</si>
  <si>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</si>
  <si>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</si>
  <si>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</si>
  <si>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</si>
  <si>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</si>
  <si>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</si>
  <si>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</si>
  <si>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</si>
  <si>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</si>
  <si>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</si>
  <si>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</si>
  <si>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</si>
  <si>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</si>
  <si>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</si>
  <si>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</si>
  <si>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</si>
  <si>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</si>
  <si>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</si>
  <si>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</si>
  <si>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</si>
  <si>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</si>
  <si>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</si>
  <si>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</si>
  <si>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</si>
  <si>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</si>
  <si>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</si>
  <si>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</si>
  <si>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</si>
  <si>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</si>
  <si>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</si>
  <si>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</si>
  <si>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</si>
  <si>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</si>
  <si>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</si>
  <si>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</si>
  <si>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</si>
  <si>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</si>
  <si>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</si>
  <si>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</si>
  <si>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</si>
  <si>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</si>
  <si>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</si>
  <si>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</si>
  <si>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</si>
  <si>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</si>
  <si>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</si>
  <si>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</si>
  <si>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</si>
  <si>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</si>
  <si>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</si>
  <si>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</si>
  <si>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</si>
  <si>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</si>
  <si>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</si>
  <si>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</si>
  <si>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</si>
  <si>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</si>
  <si>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</si>
  <si>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</si>
  <si>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</si>
  <si>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</si>
  <si>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</si>
  <si>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</si>
  <si>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</si>
  <si>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</si>
  <si>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</si>
  <si>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</si>
  <si>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</si>
  <si>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</si>
  <si>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</si>
  <si>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</si>
  <si>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</si>
  <si>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</si>
  <si>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</si>
  <si>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</si>
  <si>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</si>
  <si>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</si>
  <si>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</si>
  <si>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</si>
  <si>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</si>
  <si>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</si>
  <si>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</si>
  <si>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</si>
  <si>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</si>
  <si>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</si>
  <si>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</si>
  <si>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</si>
  <si>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</si>
  <si>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</si>
  <si>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</si>
  <si>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</si>
  <si>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</si>
  <si>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</si>
  <si>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</si>
  <si>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</si>
  <si>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</si>
  <si>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</si>
  <si>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</si>
  <si>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</si>
  <si>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</si>
  <si>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</si>
  <si>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</si>
  <si>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</si>
  <si>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</si>
  <si>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</si>
  <si>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</si>
  <si>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</si>
  <si>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</si>
  <si>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</si>
  <si>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</si>
  <si>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</si>
  <si>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</si>
  <si>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</si>
  <si>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</si>
  <si>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What's your vibe today? #SpotifyHits</t>
  </si>
  <si>
    <t>From pop to podcasts, it's all here.</t>
  </si>
  <si>
    <t>Music that moves you-only on Spotify.</t>
  </si>
  <si>
    <t xml:space="preserve">Wrapped is here! Relive your top tracks </t>
  </si>
  <si>
    <t>#MusicForEveryone</t>
  </si>
  <si>
    <t>#SpotifyWrapped</t>
  </si>
  <si>
    <t>Hashtag_1</t>
  </si>
  <si>
    <t>Hashtag_2</t>
  </si>
  <si>
    <t>#ChillVibes</t>
  </si>
  <si>
    <t>#IndieWave</t>
  </si>
  <si>
    <t>DATA CLEANING SUMMARY</t>
  </si>
  <si>
    <t>Task</t>
  </si>
  <si>
    <t>Status</t>
  </si>
  <si>
    <t>Before</t>
  </si>
  <si>
    <t>After</t>
  </si>
  <si>
    <t>Duplicate Removal</t>
  </si>
  <si>
    <t>Date Standardization</t>
  </si>
  <si>
    <t>Platform Standardization</t>
  </si>
  <si>
    <t>Numeric Formatting</t>
  </si>
  <si>
    <t>Hashtag Splitting</t>
  </si>
  <si>
    <t>✓ Complete</t>
  </si>
  <si>
    <t>Mixed Format</t>
  </si>
  <si>
    <t>Mixed Case</t>
  </si>
  <si>
    <t>Mixed Types</t>
  </si>
  <si>
    <t>300 rows</t>
  </si>
  <si>
    <t>YYYY-MM-DD</t>
  </si>
  <si>
    <t>Title Case</t>
  </si>
  <si>
    <t>Integer/Float</t>
  </si>
  <si>
    <t>483 rows</t>
  </si>
  <si>
    <t>TASK 2: ENGAGEMENT ANALYSIS</t>
  </si>
  <si>
    <t>1. ENGAGEMENT RATE CALCULATION</t>
  </si>
  <si>
    <t>(Likes + Comments + Shares) / Impressions × 100</t>
  </si>
  <si>
    <t>Formula :</t>
  </si>
  <si>
    <t>Grand Total</t>
  </si>
  <si>
    <t>Average of Engagement_Rate</t>
  </si>
  <si>
    <t>Sum of Likes</t>
  </si>
  <si>
    <t>Count of Post Text</t>
  </si>
  <si>
    <t>Sum of Comments</t>
  </si>
  <si>
    <t>Sum of Shares</t>
  </si>
  <si>
    <t>Average of Engagement Rate%</t>
  </si>
  <si>
    <t>Rank</t>
  </si>
  <si>
    <t>2. Engagement Rate by Platform:</t>
  </si>
  <si>
    <t>Engagement (%)</t>
  </si>
  <si>
    <t>Count of Post ID</t>
  </si>
  <si>
    <t>3. TOP 10 POSTS BY ENGAGEMENT RATE</t>
  </si>
  <si>
    <t>PIVOT TABLE 1: Total Engagement by Content Type and Platform</t>
  </si>
  <si>
    <t>Task 2 : PIVOT TABLE ANALYSIS</t>
  </si>
  <si>
    <t>PIVOT TABLE 2: Average Clicks per Post by Hashtag</t>
  </si>
  <si>
    <t>Average of Clicks</t>
  </si>
  <si>
    <t>Total Posts</t>
  </si>
  <si>
    <t>Avg Engagement Rate (%)</t>
  </si>
  <si>
    <t>Hashtag</t>
  </si>
  <si>
    <t>Column1</t>
  </si>
  <si>
    <t>Value</t>
  </si>
  <si>
    <t>Sum of Clicks</t>
  </si>
  <si>
    <t>Table 3 : TOP PERFORMING HASHTAGS (Ranked by Engagement)</t>
  </si>
  <si>
    <t>Hashtags</t>
  </si>
  <si>
    <t>TASK 3: PLATFORM PERFORMANCE ANALYSIS</t>
  </si>
  <si>
    <t>1. PLATFORM ENGAGEMENT RANKING</t>
  </si>
  <si>
    <t>Total Engagement</t>
  </si>
  <si>
    <t>Total Impressions</t>
  </si>
  <si>
    <t>Total Clicks</t>
  </si>
  <si>
    <t>Post Count</t>
  </si>
  <si>
    <t>Sum of Impressions</t>
  </si>
  <si>
    <t>Sum of CTR(%)</t>
  </si>
  <si>
    <t>2. WEEKLY FOLLOWER GROWTH RATES BY PLATFORM</t>
  </si>
  <si>
    <t>Sum of New_Followers</t>
  </si>
  <si>
    <t>Sum of Unfollows</t>
  </si>
  <si>
    <t>Sum of New Followers</t>
  </si>
  <si>
    <t>Max of Total_Followers</t>
  </si>
  <si>
    <t xml:space="preserve"> Net Gain</t>
  </si>
  <si>
    <t xml:space="preserve"> Growth Rate</t>
  </si>
  <si>
    <t>3.  Ad Spend vs Engagement</t>
  </si>
  <si>
    <t>Total Ad Spend ($)</t>
  </si>
  <si>
    <t>Cost per Follower ($)</t>
  </si>
  <si>
    <t>ROI (%)</t>
  </si>
  <si>
    <r>
      <rPr>
        <b/>
        <sz val="11"/>
        <color theme="0"/>
        <rFont val="Calibri"/>
        <family val="2"/>
        <scheme val="minor"/>
      </rPr>
      <t xml:space="preserve">TASK 3: PLATFORM RECOMMENDATION	</t>
    </r>
    <r>
      <rPr>
        <sz val="11"/>
        <color theme="0"/>
        <rFont val="Calibri"/>
        <family val="2"/>
        <scheme val="minor"/>
      </rPr>
      <t xml:space="preserve">				</t>
    </r>
  </si>
  <si>
    <t>Cost per Follower</t>
  </si>
  <si>
    <t>Engagement Score</t>
  </si>
  <si>
    <t>Follower Score</t>
  </si>
  <si>
    <t>Cost Score</t>
  </si>
  <si>
    <t>Overall Weighted Score</t>
  </si>
  <si>
    <t>Recommended Strategy: Focus primary investment on Twitter while maintaining YouTube as a cost-efficient support platform.</t>
  </si>
  <si>
    <t>Total_Engagement</t>
  </si>
  <si>
    <t xml:space="preserve">COUNTA of Hashtags Used </t>
  </si>
  <si>
    <t>Average of Total_Engagement</t>
  </si>
  <si>
    <t>TASK 4: HASHTAG &amp; CONTENT STRATEGY ANALYSIS</t>
  </si>
  <si>
    <t>1. MOST FREQUENT HASHTAGS</t>
  </si>
  <si>
    <t>2. CONTENT TYPE PERFORMANCE BY PLATFORM</t>
  </si>
  <si>
    <t>Conclusion: #NowPlaying  has highest useed &amp; #MusicForEveryone have highest Engagement</t>
  </si>
  <si>
    <t xml:space="preserve"> Total Engagement</t>
  </si>
  <si>
    <t>Platforms</t>
  </si>
  <si>
    <t>Twitter generates the highest overall engagement, with Story content driving maximum interaction, Instagram performs strongly in Text posts.</t>
  </si>
  <si>
    <t>RECOMMENDED CONTENT TYPE BY PLATFORM</t>
  </si>
  <si>
    <t>Best Content Type</t>
  </si>
  <si>
    <t>Avg Likes per Post</t>
  </si>
  <si>
    <t>Recommendation</t>
  </si>
  <si>
    <t>Youtube</t>
  </si>
  <si>
    <t>Twitter → Focus on Story Content</t>
  </si>
  <si>
    <t>Instagram → Focus on Text Posts</t>
  </si>
  <si>
    <t>YouTube → Focus on Reels</t>
  </si>
  <si>
    <t>Based on engagement performance, Instagram should prioritize Text posts, Twitter should focus on Story content, and YouTube should emphasize Reels to maximize audience engagement.</t>
  </si>
  <si>
    <t>TASK 5: CAMPAIGN EFFECTIVENESS ANALYSIS</t>
  </si>
  <si>
    <t>1. CAMPAIGN PERFORMANCE METRICS</t>
  </si>
  <si>
    <t>CAMPAIGNS</t>
  </si>
  <si>
    <t>Average of Impressions</t>
  </si>
  <si>
    <t>Average of Likes</t>
  </si>
  <si>
    <t>Total Likes</t>
  </si>
  <si>
    <t>2. ENGAGEMENT UPLIFT ANALYSIS (During vs Before Campaign)</t>
  </si>
  <si>
    <t>Row Labels</t>
  </si>
  <si>
    <t>During</t>
  </si>
  <si>
    <t>Campaign_Period</t>
  </si>
  <si>
    <t>Sum of Total_Engagement</t>
  </si>
  <si>
    <t>Net_Increase</t>
  </si>
  <si>
    <t>TASK 6: Follower Retention &amp; Loyalty</t>
  </si>
  <si>
    <t>Sum of Net_Increase</t>
  </si>
  <si>
    <t>Week_Number</t>
  </si>
  <si>
    <t>2025-W13</t>
  </si>
  <si>
    <t>2024-W24</t>
  </si>
  <si>
    <t>2025-W28</t>
  </si>
  <si>
    <t>2024-W30</t>
  </si>
  <si>
    <t>2024-W31</t>
  </si>
  <si>
    <t>2024-W40</t>
  </si>
  <si>
    <t>2024-W01</t>
  </si>
  <si>
    <t>2024-W38</t>
  </si>
  <si>
    <t>2024-W23</t>
  </si>
  <si>
    <t>2025-W05</t>
  </si>
  <si>
    <t>2025-W09</t>
  </si>
  <si>
    <t>2024-W37</t>
  </si>
  <si>
    <t>2025-W20</t>
  </si>
  <si>
    <t>2025-W24</t>
  </si>
  <si>
    <t>2024-W39</t>
  </si>
  <si>
    <t>2025-W29</t>
  </si>
  <si>
    <t>2025-W06</t>
  </si>
  <si>
    <t>2024-W36</t>
  </si>
  <si>
    <t>2025-W34</t>
  </si>
  <si>
    <t>2025-W19</t>
  </si>
  <si>
    <t>2024-W34</t>
  </si>
  <si>
    <t>2024-W48</t>
  </si>
  <si>
    <t>2024-W49</t>
  </si>
  <si>
    <t>2025-W30</t>
  </si>
  <si>
    <t>2024-W45</t>
  </si>
  <si>
    <t>2025-W37</t>
  </si>
  <si>
    <t>2025-W12</t>
  </si>
  <si>
    <t>2025-W16</t>
  </si>
  <si>
    <t>2024-W50</t>
  </si>
  <si>
    <t>2025-W03</t>
  </si>
  <si>
    <t>2025-W22</t>
  </si>
  <si>
    <t>2025-W15</t>
  </si>
  <si>
    <t>2025-W11</t>
  </si>
  <si>
    <t>2025-W33</t>
  </si>
  <si>
    <t>2024-W28</t>
  </si>
  <si>
    <t>2025-W17</t>
  </si>
  <si>
    <t>2025-W08</t>
  </si>
  <si>
    <t>2025-W04</t>
  </si>
  <si>
    <t>2024-W47</t>
  </si>
  <si>
    <t>2025-W21</t>
  </si>
  <si>
    <t>2024-W52</t>
  </si>
  <si>
    <t>2024-W42</t>
  </si>
  <si>
    <t>2024-W41</t>
  </si>
  <si>
    <t>2024-W32</t>
  </si>
  <si>
    <t>2025-W36</t>
  </si>
  <si>
    <t>2024-W44</t>
  </si>
  <si>
    <t>2024-W46</t>
  </si>
  <si>
    <t>2024-W27</t>
  </si>
  <si>
    <t>2025-W07</t>
  </si>
  <si>
    <t>2025-W35</t>
  </si>
  <si>
    <t>2025-W23</t>
  </si>
  <si>
    <t>2025-W25</t>
  </si>
  <si>
    <t>2025-W18</t>
  </si>
  <si>
    <t>2025-W26</t>
  </si>
  <si>
    <t>2024-W33</t>
  </si>
  <si>
    <t>2025-W10</t>
  </si>
  <si>
    <t>2024-W35</t>
  </si>
  <si>
    <t>2025-W32</t>
  </si>
  <si>
    <t>2024-W29</t>
  </si>
  <si>
    <t>2025-W02</t>
  </si>
  <si>
    <t>2024-W25</t>
  </si>
  <si>
    <t>2025-W27</t>
  </si>
  <si>
    <t>2025-W14</t>
  </si>
  <si>
    <t>2024-W51</t>
  </si>
  <si>
    <t>2024-W43</t>
  </si>
  <si>
    <t>2024-W26</t>
  </si>
  <si>
    <t>2025-W31</t>
  </si>
  <si>
    <t>start</t>
  </si>
  <si>
    <t>end</t>
  </si>
  <si>
    <t>Impact_Period</t>
  </si>
  <si>
    <t>lift</t>
  </si>
  <si>
    <t>Campaign</t>
  </si>
  <si>
    <t>Start Date</t>
  </si>
  <si>
    <t>End Date</t>
  </si>
  <si>
    <t>Before Avg</t>
  </si>
  <si>
    <t>During Avg</t>
  </si>
  <si>
    <t>Lift %</t>
  </si>
  <si>
    <t>Avg Engagement Rate</t>
  </si>
  <si>
    <t>Total Budget</t>
  </si>
  <si>
    <t>ROI</t>
  </si>
  <si>
    <t>ChillVibes is the most effective campaign with the highest ROI, while Wrapped2024 shows the lowest performance and needs improvement.</t>
  </si>
  <si>
    <t xml:space="preserve">1. CAMPAIGN ROI ANALYSIS </t>
  </si>
  <si>
    <t>TASK 5: CAMPAIGN ROI &amp; GROWTH ANALYSIS</t>
  </si>
  <si>
    <t>2. CAMPAIGN FOLLOWER &amp; APP DOWNLOAD GROWTH</t>
  </si>
  <si>
    <t>Total New Followers</t>
  </si>
  <si>
    <t>IndieWave achieved the strongest follower growth during its campaign period, while SummerBeats recorded the lowest growth among all campaigns.</t>
  </si>
  <si>
    <t>Sum of Engagement_Rate</t>
  </si>
  <si>
    <t>Weeks</t>
  </si>
  <si>
    <t>Sum of Net increase</t>
  </si>
  <si>
    <t>3-week moving average</t>
  </si>
  <si>
    <t>Higest Net Increase</t>
  </si>
  <si>
    <t>Week 2024-W45 recorded the highest net follower gain (3576), showing peak audience growth during that period.</t>
  </si>
  <si>
    <t>Conclusion:</t>
  </si>
  <si>
    <t>The 3-week moving average indicates overall steady growth with occasional spikes, reflecting consistent follower retention and engagement.</t>
  </si>
  <si>
    <t>3. CORRELATION ANALYSIS</t>
  </si>
  <si>
    <t>2. Moving average chart to analyze follower trends</t>
  </si>
  <si>
    <t>1. week with highest net follower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</si>
</sst>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m/d/yyyy"/>
    <numFmt numFmtId="166" formatCode="[$-14009]yyyy/mm/dd;@"/>
    <numFmt numFmtId="167" formatCode="0.0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&quot;Aptos Narrow&quot;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  <fill>
      <patternFill patternType="solid">
        <fgColor rgb="FF203864"/>
        <bgColor rgb="FF2038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6" tint="-0.249977111117893"/>
      </top>
      <bottom/>
      <diagonal/>
    </border>
  </borders>
  <cellStyleXfs count="3">
    <xf numFmtId="0" fontId="0" fillId="0" borderId="0"/>
    <xf numFmtId="0" fontId="3" fillId="0" borderId="0"/>
    <xf numFmtId="9" fontId="7" fillId="0" borderId="0" applyFont="0" applyFill="0" applyBorder="0" applyAlignment="0" applyProtection="0"/>
  </cellStyleXfs>
  <cellXfs count="86">
    <xf numFmtId="0" fontId="0" fillId="0" borderId="0" xfId="0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166" fontId="5" fillId="0" borderId="0" xfId="0" applyNumberFormat="1" applyFont="1"/>
    <xf numFmtId="166" fontId="5" fillId="0" borderId="0" xfId="0" applyNumberFormat="1" applyFont="1" applyAlignment="1">
      <alignment horizontal="right"/>
    </xf>
    <xf numFmtId="166" fontId="0" fillId="0" borderId="0" xfId="0" applyNumberFormat="1"/>
    <xf numFmtId="0" fontId="10" fillId="0" borderId="1" xfId="0" applyFont="1" applyBorder="1" applyAlignment="1">
      <alignment horizontal="center" vertical="top"/>
    </xf>
    <xf numFmtId="0" fontId="4" fillId="0" borderId="0" xfId="0" applyFont="1"/>
    <xf numFmtId="0" fontId="12" fillId="3" borderId="0" xfId="0" applyFont="1" applyFill="1"/>
    <xf numFmtId="10" fontId="0" fillId="0" borderId="0" xfId="0" applyNumberFormat="1"/>
    <xf numFmtId="0" fontId="1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9" fillId="5" borderId="0" xfId="0" applyFont="1" applyFill="1"/>
    <xf numFmtId="10" fontId="9" fillId="0" borderId="0" xfId="0" applyNumberFormat="1" applyFont="1"/>
    <xf numFmtId="0" fontId="14" fillId="0" borderId="0" xfId="0" applyFont="1"/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9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67" fontId="0" fillId="0" borderId="0" xfId="0" applyNumberFormat="1"/>
    <xf numFmtId="22" fontId="0" fillId="0" borderId="0" xfId="0" applyNumberFormat="1"/>
    <xf numFmtId="0" fontId="8" fillId="8" borderId="2" xfId="0" applyFont="1" applyFill="1" applyBorder="1"/>
    <xf numFmtId="0" fontId="0" fillId="0" borderId="0" xfId="0" applyAlignment="1">
      <alignment horizontal="center"/>
    </xf>
    <xf numFmtId="0" fontId="0" fillId="7" borderId="0" xfId="0" applyFill="1"/>
    <xf numFmtId="10" fontId="0" fillId="7" borderId="0" xfId="0" applyNumberFormat="1" applyFill="1"/>
    <xf numFmtId="0" fontId="0" fillId="7" borderId="0" xfId="0" applyFill="1" applyAlignment="1">
      <alignment horizontal="left"/>
    </xf>
    <xf numFmtId="0" fontId="12" fillId="3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/>
    <xf numFmtId="0" fontId="3" fillId="0" borderId="0" xfId="0" applyFont="1"/>
    <xf numFmtId="0" fontId="3" fillId="9" borderId="0" xfId="0" applyFont="1" applyFill="1"/>
    <xf numFmtId="0" fontId="0" fillId="10" borderId="0" xfId="0" applyFill="1"/>
    <xf numFmtId="2" fontId="0" fillId="10" borderId="0" xfId="0" applyNumberFormat="1" applyFill="1"/>
    <xf numFmtId="0" fontId="3" fillId="0" borderId="0" xfId="1"/>
    <xf numFmtId="0" fontId="8" fillId="12" borderId="2" xfId="0" applyFont="1" applyFill="1" applyBorder="1"/>
    <xf numFmtId="0" fontId="3" fillId="14" borderId="0" xfId="1" applyFill="1"/>
    <xf numFmtId="0" fontId="12" fillId="0" borderId="0" xfId="1" applyFont="1"/>
    <xf numFmtId="0" fontId="15" fillId="2" borderId="0" xfId="1" applyFont="1" applyFill="1"/>
    <xf numFmtId="14" fontId="14" fillId="0" borderId="0" xfId="0" applyNumberFormat="1" applyFont="1"/>
    <xf numFmtId="14" fontId="5" fillId="0" borderId="0" xfId="0" applyNumberFormat="1" applyFont="1" applyAlignment="1">
      <alignment horizontal="right"/>
    </xf>
    <xf numFmtId="14" fontId="0" fillId="0" borderId="0" xfId="0" applyNumberFormat="1"/>
    <xf numFmtId="14" fontId="6" fillId="0" borderId="1" xfId="0" applyNumberFormat="1" applyFont="1" applyBorder="1" applyAlignment="1">
      <alignment horizontal="center" vertical="top"/>
    </xf>
    <xf numFmtId="14" fontId="7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0" fontId="0" fillId="0" borderId="0" xfId="2" applyNumberFormat="1" applyFont="1"/>
    <xf numFmtId="10" fontId="9" fillId="0" borderId="0" xfId="2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4" borderId="0" xfId="1" applyFont="1" applyFill="1"/>
    <xf numFmtId="0" fontId="3" fillId="0" borderId="0" xfId="1"/>
    <xf numFmtId="0" fontId="9" fillId="0" borderId="0" xfId="0" applyFont="1" applyAlignment="1">
      <alignment horizontal="center"/>
    </xf>
    <xf numFmtId="0" fontId="11" fillId="2" borderId="0" xfId="0" applyFont="1" applyFill="1"/>
    <xf numFmtId="0" fontId="0" fillId="0" borderId="0" xfId="0"/>
    <xf numFmtId="0" fontId="1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4" borderId="0" xfId="0" applyFont="1" applyFill="1"/>
    <xf numFmtId="0" fontId="8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1" fillId="11" borderId="0" xfId="1" applyFont="1" applyFill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12" fillId="0" borderId="0" xfId="1" applyFont="1" applyAlignment="1">
      <alignment horizontal="center"/>
    </xf>
    <xf numFmtId="0" fontId="18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9" fillId="13" borderId="0" xfId="0" applyFont="1" applyFill="1" applyAlignment="1">
      <alignment horizontal="center"/>
    </xf>
    <xf numFmtId="0" fontId="20" fillId="0" borderId="0" xfId="0" applyFont="1"/>
    <xf numFmtId="0" fontId="22" fillId="15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</cellXfs>
  <cellStyles count="3">
    <cellStyle name="Normal" xfId="0" builtinId="0"/>
    <cellStyle name="Normal 2" xfId="1" xr:uid="{5CD47309-9DEC-4BD6-9F84-E3C283C58925}"/>
    <cellStyle name="Percent" xfId="2" builtinId="5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3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2" formatCode="0.00"/>
    </dxf>
    <dxf>
      <numFmt numFmtId="14" formatCode="0.00%"/>
    </dxf>
    <dxf>
      <numFmt numFmtId="2" formatCode="0.00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6" formatCode="[$-14009]yyyy/mm/dd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</dxfs>
  <tableStyles count="2" defaultTableStyle="TableStyleMedium2" defaultPivotStyle="PivotStyleLight16">
    <tableStyle name="Table Style 1" pivot="0" count="3" xr9:uid="{9BF5960A-9B88-4145-844A-401D749615EA}">
      <tableStyleElement type="headerRow" dxfId="9"/>
      <tableStyleElement type="firstColumnStripe" dxfId="11"/>
      <tableStyleElement type="secondColumnStripe" dxfId="10"/>
    </tableStyle>
    <tableStyle name="Table Style 2" pivot="0" count="3" xr9:uid="{8610985C-372A-4E4E-8CCF-44B6E13DA525}">
      <tableStyleElement type="headerRow" dxfId="6"/>
      <tableStyleElement type="firstRowStripe" dxfId="8"/>
      <tableStyleElement type="secondRowStripe" dxfId="7"/>
    </tableStyle>
  </tableStyles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  (Recovered).xlsx]Task3!PivotTable2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2537182852143"/>
          <c:y val="0.14249781277340332"/>
          <c:w val="0.50161220472440948"/>
          <c:h val="0.65853091280256637"/>
        </c:manualLayout>
      </c:layout>
      <c:areaChart>
        <c:grouping val="standard"/>
        <c:varyColors val="0"/>
        <c:ser>
          <c:idx val="0"/>
          <c:order val="0"/>
          <c:tx>
            <c:strRef>
              <c:f>Task3!$B$23</c:f>
              <c:strCache>
                <c:ptCount val="1"/>
                <c:pt idx="0">
                  <c:v>Total Ad Spend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Task3!$A$24:$A$27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Task3!$B$24:$B$27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5-4D34-A2E3-ADCEE603226A}"/>
            </c:ext>
          </c:extLst>
        </c:ser>
        <c:ser>
          <c:idx val="2"/>
          <c:order val="2"/>
          <c:tx>
            <c:strRef>
              <c:f>Task3!$D$23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Task3!$A$24:$A$27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Task3!$D$24:$D$27</c:f>
              <c:numCache>
                <c:formatCode>General</c:formatCode>
                <c:ptCount val="3"/>
                <c:pt idx="0">
                  <c:v>62938</c:v>
                </c:pt>
                <c:pt idx="1">
                  <c:v>67378</c:v>
                </c:pt>
                <c:pt idx="2">
                  <c:v>66245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85-4D34-A2E3-ADCEE603226A}"/>
            </c:ext>
          </c:extLst>
        </c:ser>
        <c:ser>
          <c:idx val="3"/>
          <c:order val="3"/>
          <c:tx>
            <c:strRef>
              <c:f>Task3!$E$23</c:f>
              <c:strCache>
                <c:ptCount val="1"/>
                <c:pt idx="0">
                  <c:v>Cost per Follower ($)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Task3!$A$24:$A$27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Task3!$E$24:$E$27</c:f>
              <c:numCache>
                <c:formatCode>General</c:formatCode>
                <c:ptCount val="3"/>
                <c:pt idx="0">
                  <c:v>16.459722266357367</c:v>
                </c:pt>
                <c:pt idx="1">
                  <c:v>16.536614325150644</c:v>
                </c:pt>
                <c:pt idx="2">
                  <c:v>16.08848969733565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85-4D34-A2E3-ADCEE603226A}"/>
            </c:ext>
          </c:extLst>
        </c:ser>
        <c:ser>
          <c:idx val="4"/>
          <c:order val="4"/>
          <c:tx>
            <c:strRef>
              <c:f>Task3!$F$23</c:f>
              <c:strCache>
                <c:ptCount val="1"/>
                <c:pt idx="0">
                  <c:v>ROI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Task3!$A$24:$A$27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Task3!$F$24:$F$27</c:f>
              <c:numCache>
                <c:formatCode>0.00%</c:formatCode>
                <c:ptCount val="3"/>
                <c:pt idx="0">
                  <c:v>6.0754366557201081E-2</c:v>
                </c:pt>
                <c:pt idx="1">
                  <c:v>6.0471870501272659E-2</c:v>
                </c:pt>
                <c:pt idx="2">
                  <c:v>6.2156238330165078E-2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85-4D34-A2E3-ADCEE603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130048"/>
        <c:axId val="794315296"/>
      </c:areaChart>
      <c:areaChart>
        <c:grouping val="stacked"/>
        <c:varyColors val="0"/>
        <c:ser>
          <c:idx val="1"/>
          <c:order val="1"/>
          <c:tx>
            <c:strRef>
              <c:f>Task3!$C$23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Task3!$A$24:$A$27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Task3!$C$24:$C$27</c:f>
              <c:numCache>
                <c:formatCode>0.00</c:formatCode>
                <c:ptCount val="3"/>
                <c:pt idx="0">
                  <c:v>6.4582089552238831</c:v>
                </c:pt>
                <c:pt idx="1">
                  <c:v>6.8856716417910446</c:v>
                </c:pt>
                <c:pt idx="2">
                  <c:v>6.7189393939393929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5-4D34-A2E3-ADCEE603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635520"/>
        <c:axId val="838637920"/>
      </c:areaChart>
      <c:catAx>
        <c:axId val="82813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15296"/>
        <c:crosses val="autoZero"/>
        <c:auto val="1"/>
        <c:lblAlgn val="ctr"/>
        <c:lblOffset val="100"/>
        <c:noMultiLvlLbl val="0"/>
      </c:catAx>
      <c:valAx>
        <c:axId val="7943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30048"/>
        <c:crosses val="autoZero"/>
        <c:crossBetween val="midCat"/>
      </c:valAx>
      <c:valAx>
        <c:axId val="83863792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35520"/>
        <c:crosses val="max"/>
        <c:crossBetween val="midCat"/>
      </c:valAx>
      <c:catAx>
        <c:axId val="83863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8637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12903336574806"/>
          <c:y val="0.25691885664165709"/>
          <c:w val="0.24468305481082317"/>
          <c:h val="0.4910182894388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916666666666665E-2"/>
          <c:y val="0.10226851851851854"/>
          <c:w val="0.86021522309711285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Task5!$I$21</c:f>
              <c:strCache>
                <c:ptCount val="1"/>
                <c:pt idx="0">
                  <c:v>Before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Task5!$F$22:$H$25</c15:sqref>
                  </c15:fullRef>
                  <c15:levelRef>
                    <c15:sqref>Task5!$F$22:$F$25</c15:sqref>
                  </c15:levelRef>
                </c:ext>
              </c:extLst>
              <c:f>Task5!$F$22:$F$25</c:f>
              <c:strCache>
                <c:ptCount val="4"/>
                <c:pt idx="0">
                  <c:v>ChillVibes</c:v>
                </c:pt>
                <c:pt idx="1">
                  <c:v>Wrapped2024</c:v>
                </c:pt>
                <c:pt idx="2">
                  <c:v>SummerBeats</c:v>
                </c:pt>
                <c:pt idx="3">
                  <c:v>IndieWave</c:v>
                </c:pt>
              </c:strCache>
            </c:strRef>
          </c:cat>
          <c:val>
            <c:numRef>
              <c:f>Task5!$I$22:$I$25</c:f>
              <c:numCache>
                <c:formatCode>0.00%</c:formatCode>
                <c:ptCount val="4"/>
                <c:pt idx="0">
                  <c:v>0.10086311618757582</c:v>
                </c:pt>
                <c:pt idx="1">
                  <c:v>9.2680818872661358E-2</c:v>
                </c:pt>
                <c:pt idx="2">
                  <c:v>7.7477551774674469E-2</c:v>
                </c:pt>
                <c:pt idx="3">
                  <c:v>0.11058335030833821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2-4A95-9F5C-6C678B8A4FBC}"/>
            </c:ext>
          </c:extLst>
        </c:ser>
        <c:ser>
          <c:idx val="1"/>
          <c:order val="1"/>
          <c:tx>
            <c:strRef>
              <c:f>Task5!$J$21</c:f>
              <c:strCache>
                <c:ptCount val="1"/>
                <c:pt idx="0">
                  <c:v>During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Task5!$F$22:$H$25</c15:sqref>
                  </c15:fullRef>
                  <c15:levelRef>
                    <c15:sqref>Task5!$F$22:$F$25</c15:sqref>
                  </c15:levelRef>
                </c:ext>
              </c:extLst>
              <c:f>Task5!$F$22:$F$25</c:f>
              <c:strCache>
                <c:ptCount val="4"/>
                <c:pt idx="0">
                  <c:v>ChillVibes</c:v>
                </c:pt>
                <c:pt idx="1">
                  <c:v>Wrapped2024</c:v>
                </c:pt>
                <c:pt idx="2">
                  <c:v>SummerBeats</c:v>
                </c:pt>
                <c:pt idx="3">
                  <c:v>IndieWave</c:v>
                </c:pt>
              </c:strCache>
            </c:strRef>
          </c:cat>
          <c:val>
            <c:numRef>
              <c:f>Task5!$J$22:$J$25</c:f>
              <c:numCache>
                <c:formatCode>0.00%</c:formatCode>
                <c:ptCount val="4"/>
                <c:pt idx="0">
                  <c:v>0.10541160412718438</c:v>
                </c:pt>
                <c:pt idx="1">
                  <c:v>9.9294724623054248E-2</c:v>
                </c:pt>
                <c:pt idx="2">
                  <c:v>9.67495057607137E-2</c:v>
                </c:pt>
                <c:pt idx="3">
                  <c:v>0.10264545756473814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2-4A95-9F5C-6C678B8A4FBC}"/>
            </c:ext>
          </c:extLst>
        </c:ser>
        <c:ser>
          <c:idx val="2"/>
          <c:order val="2"/>
          <c:tx>
            <c:strRef>
              <c:f>Task5!$K$21</c:f>
              <c:strCache>
                <c:ptCount val="1"/>
                <c:pt idx="0">
                  <c:v>Lift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Task5!$F$22:$H$25</c15:sqref>
                  </c15:fullRef>
                  <c15:levelRef>
                    <c15:sqref>Task5!$F$22:$F$25</c15:sqref>
                  </c15:levelRef>
                </c:ext>
              </c:extLst>
              <c:f>Task5!$F$22:$F$25</c:f>
              <c:strCache>
                <c:ptCount val="4"/>
                <c:pt idx="0">
                  <c:v>ChillVibes</c:v>
                </c:pt>
                <c:pt idx="1">
                  <c:v>Wrapped2024</c:v>
                </c:pt>
                <c:pt idx="2">
                  <c:v>SummerBeats</c:v>
                </c:pt>
                <c:pt idx="3">
                  <c:v>IndieWave</c:v>
                </c:pt>
              </c:strCache>
            </c:strRef>
          </c:cat>
          <c:val>
            <c:numRef>
              <c:f>Task5!$K$22:$K$25</c:f>
              <c:numCache>
                <c:formatCode>0.00%</c:formatCode>
                <c:ptCount val="4"/>
                <c:pt idx="0">
                  <c:v>4.5095651527855905E-2</c:v>
                </c:pt>
                <c:pt idx="1">
                  <c:v>7.1362185086863053E-2</c:v>
                </c:pt>
                <c:pt idx="2">
                  <c:v>0.24874242338073935</c:v>
                </c:pt>
                <c:pt idx="3">
                  <c:v>-7.1781988169710376E-2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92-4A95-9F5C-6C678B8A4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5738831"/>
        <c:axId val="181573979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Task5!$L$21</c15:sqref>
                        </c15:formulaRef>
                      </c:ext>
                    </c:extLst>
                    <c:strCache>
                      <c:ptCount val="1"/>
                      <c:pt idx="0">
                        <c:v>Column1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Task5!$F$22:$H$25</c15:sqref>
                        </c15:fullRef>
                        <c15:levelRef>
                          <c15:sqref>Task5!$F$22:$F$25</c15:sqref>
                        </c15:levelRef>
                        <c15:formulaRef>
                          <c15:sqref>Task5!$F$22:$F$25</c15:sqref>
                        </c15:formulaRef>
                      </c:ext>
                    </c:extLst>
                    <c:strCache>
                      <c:ptCount val="4"/>
                      <c:pt idx="0">
                        <c:v>ChillVibes</c:v>
                      </c:pt>
                      <c:pt idx="1">
                        <c:v>Wrapped2024</c:v>
                      </c:pt>
                      <c:pt idx="2">
                        <c:v>SummerBeats</c:v>
                      </c:pt>
                      <c:pt idx="3">
                        <c:v>IndieWave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Task5!$L$22:$L$25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E92-4A95-9F5C-6C678B8A4FBC}"/>
                  </c:ext>
                </c:extLst>
              </c15:ser>
            </c15:filteredBarSeries>
          </c:ext>
        </c:extLst>
      </c:barChart>
      <c:catAx>
        <c:axId val="181573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39791"/>
        <c:crosses val="autoZero"/>
        <c:auto val="1"/>
        <c:lblAlgn val="ctr"/>
        <c:lblOffset val="100"/>
        <c:noMultiLvlLbl val="0"/>
      </c:catAx>
      <c:valAx>
        <c:axId val="181573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3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follower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382127950009786E-2"/>
          <c:y val="0.18740149897010197"/>
          <c:w val="0.90295417372861897"/>
          <c:h val="0.46553630474529528"/>
        </c:manualLayout>
      </c:layout>
      <c:lineChart>
        <c:grouping val="standard"/>
        <c:varyColors val="0"/>
        <c:ser>
          <c:idx val="0"/>
          <c:order val="0"/>
          <c:tx>
            <c:strRef>
              <c:f>Task6!$I$1</c:f>
              <c:strCache>
                <c:ptCount val="1"/>
                <c:pt idx="0">
                  <c:v>Sum of Net increase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Task6!$H$2:$H$70</c:f>
              <c:strCache>
                <c:ptCount val="67"/>
                <c:pt idx="0">
                  <c:v>2024-W01</c:v>
                </c:pt>
                <c:pt idx="1">
                  <c:v>2024-W23</c:v>
                </c:pt>
                <c:pt idx="2">
                  <c:v>2024-W24</c:v>
                </c:pt>
                <c:pt idx="3">
                  <c:v>2024-W25</c:v>
                </c:pt>
                <c:pt idx="4">
                  <c:v>2024-W26</c:v>
                </c:pt>
                <c:pt idx="5">
                  <c:v>2024-W27</c:v>
                </c:pt>
                <c:pt idx="6">
                  <c:v>2024-W28</c:v>
                </c:pt>
                <c:pt idx="7">
                  <c:v>2024-W29</c:v>
                </c:pt>
                <c:pt idx="8">
                  <c:v>2024-W30</c:v>
                </c:pt>
                <c:pt idx="9">
                  <c:v>2024-W31</c:v>
                </c:pt>
                <c:pt idx="10">
                  <c:v>2024-W32</c:v>
                </c:pt>
                <c:pt idx="11">
                  <c:v>2024-W33</c:v>
                </c:pt>
                <c:pt idx="12">
                  <c:v>2024-W34</c:v>
                </c:pt>
                <c:pt idx="13">
                  <c:v>2024-W35</c:v>
                </c:pt>
                <c:pt idx="14">
                  <c:v>2024-W36</c:v>
                </c:pt>
                <c:pt idx="15">
                  <c:v>2024-W37</c:v>
                </c:pt>
                <c:pt idx="16">
                  <c:v>2024-W38</c:v>
                </c:pt>
                <c:pt idx="17">
                  <c:v>2024-W39</c:v>
                </c:pt>
                <c:pt idx="18">
                  <c:v>2024-W40</c:v>
                </c:pt>
                <c:pt idx="19">
                  <c:v>2024-W41</c:v>
                </c:pt>
                <c:pt idx="20">
                  <c:v>2024-W42</c:v>
                </c:pt>
                <c:pt idx="21">
                  <c:v>2024-W43</c:v>
                </c:pt>
                <c:pt idx="22">
                  <c:v>2024-W44</c:v>
                </c:pt>
                <c:pt idx="23">
                  <c:v>2024-W45</c:v>
                </c:pt>
                <c:pt idx="24">
                  <c:v>2024-W46</c:v>
                </c:pt>
                <c:pt idx="25">
                  <c:v>2024-W47</c:v>
                </c:pt>
                <c:pt idx="26">
                  <c:v>2024-W48</c:v>
                </c:pt>
                <c:pt idx="27">
                  <c:v>2024-W49</c:v>
                </c:pt>
                <c:pt idx="28">
                  <c:v>2024-W50</c:v>
                </c:pt>
                <c:pt idx="29">
                  <c:v>2024-W51</c:v>
                </c:pt>
                <c:pt idx="30">
                  <c:v>2024-W52</c:v>
                </c:pt>
                <c:pt idx="31">
                  <c:v>2025-W02</c:v>
                </c:pt>
                <c:pt idx="32">
                  <c:v>2025-W03</c:v>
                </c:pt>
                <c:pt idx="33">
                  <c:v>2025-W04</c:v>
                </c:pt>
                <c:pt idx="34">
                  <c:v>2025-W05</c:v>
                </c:pt>
                <c:pt idx="35">
                  <c:v>2025-W06</c:v>
                </c:pt>
                <c:pt idx="36">
                  <c:v>2025-W07</c:v>
                </c:pt>
                <c:pt idx="37">
                  <c:v>2025-W08</c:v>
                </c:pt>
                <c:pt idx="38">
                  <c:v>2025-W09</c:v>
                </c:pt>
                <c:pt idx="39">
                  <c:v>2025-W10</c:v>
                </c:pt>
                <c:pt idx="40">
                  <c:v>2025-W11</c:v>
                </c:pt>
                <c:pt idx="41">
                  <c:v>2025-W12</c:v>
                </c:pt>
                <c:pt idx="42">
                  <c:v>2025-W13</c:v>
                </c:pt>
                <c:pt idx="43">
                  <c:v>2025-W14</c:v>
                </c:pt>
                <c:pt idx="44">
                  <c:v>2025-W15</c:v>
                </c:pt>
                <c:pt idx="45">
                  <c:v>2025-W16</c:v>
                </c:pt>
                <c:pt idx="46">
                  <c:v>2025-W17</c:v>
                </c:pt>
                <c:pt idx="47">
                  <c:v>2025-W18</c:v>
                </c:pt>
                <c:pt idx="48">
                  <c:v>2025-W19</c:v>
                </c:pt>
                <c:pt idx="49">
                  <c:v>2025-W20</c:v>
                </c:pt>
                <c:pt idx="50">
                  <c:v>2025-W21</c:v>
                </c:pt>
                <c:pt idx="51">
                  <c:v>2025-W22</c:v>
                </c:pt>
                <c:pt idx="52">
                  <c:v>2025-W23</c:v>
                </c:pt>
                <c:pt idx="53">
                  <c:v>2025-W24</c:v>
                </c:pt>
                <c:pt idx="54">
                  <c:v>2025-W25</c:v>
                </c:pt>
                <c:pt idx="55">
                  <c:v>2025-W26</c:v>
                </c:pt>
                <c:pt idx="56">
                  <c:v>2025-W27</c:v>
                </c:pt>
                <c:pt idx="57">
                  <c:v>2025-W28</c:v>
                </c:pt>
                <c:pt idx="58">
                  <c:v>2025-W29</c:v>
                </c:pt>
                <c:pt idx="59">
                  <c:v>2025-W30</c:v>
                </c:pt>
                <c:pt idx="60">
                  <c:v>2025-W31</c:v>
                </c:pt>
                <c:pt idx="61">
                  <c:v>2025-W32</c:v>
                </c:pt>
                <c:pt idx="62">
                  <c:v>2025-W33</c:v>
                </c:pt>
                <c:pt idx="63">
                  <c:v>2025-W34</c:v>
                </c:pt>
                <c:pt idx="64">
                  <c:v>2025-W35</c:v>
                </c:pt>
                <c:pt idx="65">
                  <c:v>2025-W36</c:v>
                </c:pt>
                <c:pt idx="66">
                  <c:v>2025-W37</c:v>
                </c:pt>
              </c:strCache>
            </c:strRef>
          </c:cat>
          <c:val>
            <c:numRef>
              <c:f>Task6!$I$2:$I$70</c:f>
              <c:numCache>
                <c:formatCode>General</c:formatCode>
                <c:ptCount val="69"/>
                <c:pt idx="0">
                  <c:v>2337</c:v>
                </c:pt>
                <c:pt idx="1">
                  <c:v>3419</c:v>
                </c:pt>
                <c:pt idx="2">
                  <c:v>2777</c:v>
                </c:pt>
                <c:pt idx="3">
                  <c:v>3175</c:v>
                </c:pt>
                <c:pt idx="4">
                  <c:v>2433</c:v>
                </c:pt>
                <c:pt idx="5">
                  <c:v>2426</c:v>
                </c:pt>
                <c:pt idx="6">
                  <c:v>3155</c:v>
                </c:pt>
                <c:pt idx="7">
                  <c:v>2369</c:v>
                </c:pt>
                <c:pt idx="8">
                  <c:v>2281</c:v>
                </c:pt>
                <c:pt idx="9">
                  <c:v>2132</c:v>
                </c:pt>
                <c:pt idx="10">
                  <c:v>2693</c:v>
                </c:pt>
                <c:pt idx="11">
                  <c:v>3072</c:v>
                </c:pt>
                <c:pt idx="12">
                  <c:v>2300</c:v>
                </c:pt>
                <c:pt idx="13">
                  <c:v>2450</c:v>
                </c:pt>
                <c:pt idx="14">
                  <c:v>2502</c:v>
                </c:pt>
                <c:pt idx="15">
                  <c:v>2630</c:v>
                </c:pt>
                <c:pt idx="16">
                  <c:v>2162</c:v>
                </c:pt>
                <c:pt idx="17">
                  <c:v>2785</c:v>
                </c:pt>
                <c:pt idx="18">
                  <c:v>3151</c:v>
                </c:pt>
                <c:pt idx="19">
                  <c:v>2338</c:v>
                </c:pt>
                <c:pt idx="20">
                  <c:v>2670</c:v>
                </c:pt>
                <c:pt idx="21">
                  <c:v>2792</c:v>
                </c:pt>
                <c:pt idx="22">
                  <c:v>2181</c:v>
                </c:pt>
                <c:pt idx="23">
                  <c:v>3576</c:v>
                </c:pt>
                <c:pt idx="24">
                  <c:v>2794</c:v>
                </c:pt>
                <c:pt idx="25">
                  <c:v>1935</c:v>
                </c:pt>
                <c:pt idx="26">
                  <c:v>2287</c:v>
                </c:pt>
                <c:pt idx="27">
                  <c:v>2383</c:v>
                </c:pt>
                <c:pt idx="28">
                  <c:v>1398</c:v>
                </c:pt>
                <c:pt idx="29">
                  <c:v>2693</c:v>
                </c:pt>
                <c:pt idx="30">
                  <c:v>2550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3-49A1-BD34-3EFF9E9B9EEA}"/>
            </c:ext>
          </c:extLst>
        </c:ser>
        <c:ser>
          <c:idx val="1"/>
          <c:order val="1"/>
          <c:tx>
            <c:strRef>
              <c:f>Task6!$J$1</c:f>
              <c:strCache>
                <c:ptCount val="1"/>
                <c:pt idx="0">
                  <c:v>3-week moving average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Task6!$H$2:$H$70</c:f>
              <c:strCache>
                <c:ptCount val="67"/>
                <c:pt idx="0">
                  <c:v>2024-W01</c:v>
                </c:pt>
                <c:pt idx="1">
                  <c:v>2024-W23</c:v>
                </c:pt>
                <c:pt idx="2">
                  <c:v>2024-W24</c:v>
                </c:pt>
                <c:pt idx="3">
                  <c:v>2024-W25</c:v>
                </c:pt>
                <c:pt idx="4">
                  <c:v>2024-W26</c:v>
                </c:pt>
                <c:pt idx="5">
                  <c:v>2024-W27</c:v>
                </c:pt>
                <c:pt idx="6">
                  <c:v>2024-W28</c:v>
                </c:pt>
                <c:pt idx="7">
                  <c:v>2024-W29</c:v>
                </c:pt>
                <c:pt idx="8">
                  <c:v>2024-W30</c:v>
                </c:pt>
                <c:pt idx="9">
                  <c:v>2024-W31</c:v>
                </c:pt>
                <c:pt idx="10">
                  <c:v>2024-W32</c:v>
                </c:pt>
                <c:pt idx="11">
                  <c:v>2024-W33</c:v>
                </c:pt>
                <c:pt idx="12">
                  <c:v>2024-W34</c:v>
                </c:pt>
                <c:pt idx="13">
                  <c:v>2024-W35</c:v>
                </c:pt>
                <c:pt idx="14">
                  <c:v>2024-W36</c:v>
                </c:pt>
                <c:pt idx="15">
                  <c:v>2024-W37</c:v>
                </c:pt>
                <c:pt idx="16">
                  <c:v>2024-W38</c:v>
                </c:pt>
                <c:pt idx="17">
                  <c:v>2024-W39</c:v>
                </c:pt>
                <c:pt idx="18">
                  <c:v>2024-W40</c:v>
                </c:pt>
                <c:pt idx="19">
                  <c:v>2024-W41</c:v>
                </c:pt>
                <c:pt idx="20">
                  <c:v>2024-W42</c:v>
                </c:pt>
                <c:pt idx="21">
                  <c:v>2024-W43</c:v>
                </c:pt>
                <c:pt idx="22">
                  <c:v>2024-W44</c:v>
                </c:pt>
                <c:pt idx="23">
                  <c:v>2024-W45</c:v>
                </c:pt>
                <c:pt idx="24">
                  <c:v>2024-W46</c:v>
                </c:pt>
                <c:pt idx="25">
                  <c:v>2024-W47</c:v>
                </c:pt>
                <c:pt idx="26">
                  <c:v>2024-W48</c:v>
                </c:pt>
                <c:pt idx="27">
                  <c:v>2024-W49</c:v>
                </c:pt>
                <c:pt idx="28">
                  <c:v>2024-W50</c:v>
                </c:pt>
                <c:pt idx="29">
                  <c:v>2024-W51</c:v>
                </c:pt>
                <c:pt idx="30">
                  <c:v>2024-W52</c:v>
                </c:pt>
                <c:pt idx="31">
                  <c:v>2025-W02</c:v>
                </c:pt>
                <c:pt idx="32">
                  <c:v>2025-W03</c:v>
                </c:pt>
                <c:pt idx="33">
                  <c:v>2025-W04</c:v>
                </c:pt>
                <c:pt idx="34">
                  <c:v>2025-W05</c:v>
                </c:pt>
                <c:pt idx="35">
                  <c:v>2025-W06</c:v>
                </c:pt>
                <c:pt idx="36">
                  <c:v>2025-W07</c:v>
                </c:pt>
                <c:pt idx="37">
                  <c:v>2025-W08</c:v>
                </c:pt>
                <c:pt idx="38">
                  <c:v>2025-W09</c:v>
                </c:pt>
                <c:pt idx="39">
                  <c:v>2025-W10</c:v>
                </c:pt>
                <c:pt idx="40">
                  <c:v>2025-W11</c:v>
                </c:pt>
                <c:pt idx="41">
                  <c:v>2025-W12</c:v>
                </c:pt>
                <c:pt idx="42">
                  <c:v>2025-W13</c:v>
                </c:pt>
                <c:pt idx="43">
                  <c:v>2025-W14</c:v>
                </c:pt>
                <c:pt idx="44">
                  <c:v>2025-W15</c:v>
                </c:pt>
                <c:pt idx="45">
                  <c:v>2025-W16</c:v>
                </c:pt>
                <c:pt idx="46">
                  <c:v>2025-W17</c:v>
                </c:pt>
                <c:pt idx="47">
                  <c:v>2025-W18</c:v>
                </c:pt>
                <c:pt idx="48">
                  <c:v>2025-W19</c:v>
                </c:pt>
                <c:pt idx="49">
                  <c:v>2025-W20</c:v>
                </c:pt>
                <c:pt idx="50">
                  <c:v>2025-W21</c:v>
                </c:pt>
                <c:pt idx="51">
                  <c:v>2025-W22</c:v>
                </c:pt>
                <c:pt idx="52">
                  <c:v>2025-W23</c:v>
                </c:pt>
                <c:pt idx="53">
                  <c:v>2025-W24</c:v>
                </c:pt>
                <c:pt idx="54">
                  <c:v>2025-W25</c:v>
                </c:pt>
                <c:pt idx="55">
                  <c:v>2025-W26</c:v>
                </c:pt>
                <c:pt idx="56">
                  <c:v>2025-W27</c:v>
                </c:pt>
                <c:pt idx="57">
                  <c:v>2025-W28</c:v>
                </c:pt>
                <c:pt idx="58">
                  <c:v>2025-W29</c:v>
                </c:pt>
                <c:pt idx="59">
                  <c:v>2025-W30</c:v>
                </c:pt>
                <c:pt idx="60">
                  <c:v>2025-W31</c:v>
                </c:pt>
                <c:pt idx="61">
                  <c:v>2025-W32</c:v>
                </c:pt>
                <c:pt idx="62">
                  <c:v>2025-W33</c:v>
                </c:pt>
                <c:pt idx="63">
                  <c:v>2025-W34</c:v>
                </c:pt>
                <c:pt idx="64">
                  <c:v>2025-W35</c:v>
                </c:pt>
                <c:pt idx="65">
                  <c:v>2025-W36</c:v>
                </c:pt>
                <c:pt idx="66">
                  <c:v>2025-W37</c:v>
                </c:pt>
              </c:strCache>
            </c:strRef>
          </c:cat>
          <c:val>
            <c:numRef>
              <c:f>Task6!$J$2:$J$70</c:f>
              <c:numCache>
                <c:formatCode>General</c:formatCode>
                <c:ptCount val="69"/>
                <c:pt idx="2">
                  <c:v>2844.3333333333335</c:v>
                </c:pt>
                <c:pt idx="3">
                  <c:v>3123.6666666666665</c:v>
                </c:pt>
                <c:pt idx="4">
                  <c:v>2795</c:v>
                </c:pt>
                <c:pt idx="5">
                  <c:v>2678</c:v>
                </c:pt>
                <c:pt idx="6">
                  <c:v>2671.3333333333335</c:v>
                </c:pt>
                <c:pt idx="7">
                  <c:v>2650</c:v>
                </c:pt>
                <c:pt idx="8">
                  <c:v>2601.6666666666665</c:v>
                </c:pt>
                <c:pt idx="9">
                  <c:v>2260.6666666666665</c:v>
                </c:pt>
                <c:pt idx="10">
                  <c:v>2368.6666666666665</c:v>
                </c:pt>
                <c:pt idx="11">
                  <c:v>2632.3333333333335</c:v>
                </c:pt>
                <c:pt idx="12">
                  <c:v>2688.3333333333335</c:v>
                </c:pt>
                <c:pt idx="13">
                  <c:v>2607.3333333333335</c:v>
                </c:pt>
                <c:pt idx="14">
                  <c:v>2417.3333333333335</c:v>
                </c:pt>
                <c:pt idx="15">
                  <c:v>2527.3333333333335</c:v>
                </c:pt>
                <c:pt idx="16">
                  <c:v>2431.3333333333335</c:v>
                </c:pt>
                <c:pt idx="17">
                  <c:v>2525.6666666666665</c:v>
                </c:pt>
                <c:pt idx="18">
                  <c:v>2699.3333333333335</c:v>
                </c:pt>
                <c:pt idx="19">
                  <c:v>2758</c:v>
                </c:pt>
                <c:pt idx="20">
                  <c:v>2719.6666666666665</c:v>
                </c:pt>
                <c:pt idx="21">
                  <c:v>2600</c:v>
                </c:pt>
                <c:pt idx="22">
                  <c:v>2547.6666666666665</c:v>
                </c:pt>
                <c:pt idx="23">
                  <c:v>2849.6666666666665</c:v>
                </c:pt>
                <c:pt idx="24">
                  <c:v>2850.3333333333335</c:v>
                </c:pt>
                <c:pt idx="25">
                  <c:v>2768.3333333333335</c:v>
                </c:pt>
                <c:pt idx="26">
                  <c:v>2338.6666666666665</c:v>
                </c:pt>
                <c:pt idx="27">
                  <c:v>2201.6666666666665</c:v>
                </c:pt>
                <c:pt idx="28">
                  <c:v>2022.6666666666667</c:v>
                </c:pt>
                <c:pt idx="29">
                  <c:v>2158</c:v>
                </c:pt>
                <c:pt idx="30">
                  <c:v>2213.6666666666665</c:v>
                </c:pt>
                <c:pt idx="31">
                  <c:v>2564.6666666666665</c:v>
                </c:pt>
                <c:pt idx="32">
                  <c:v>2447.3333333333335</c:v>
                </c:pt>
                <c:pt idx="33">
                  <c:v>2208</c:v>
                </c:pt>
                <c:pt idx="34">
                  <c:v>2033.6666666666667</c:v>
                </c:pt>
                <c:pt idx="35">
                  <c:v>1813.3333333333333</c:v>
                </c:pt>
                <c:pt idx="36">
                  <c:v>1989.6666666666667</c:v>
                </c:pt>
                <c:pt idx="37">
                  <c:v>1861.3333333333333</c:v>
                </c:pt>
                <c:pt idx="38">
                  <c:v>1872.3333333333333</c:v>
                </c:pt>
                <c:pt idx="39">
                  <c:v>2006.3333333333333</c:v>
                </c:pt>
                <c:pt idx="40">
                  <c:v>2263.6666666666665</c:v>
                </c:pt>
                <c:pt idx="41">
                  <c:v>2422</c:v>
                </c:pt>
                <c:pt idx="42">
                  <c:v>2394</c:v>
                </c:pt>
                <c:pt idx="43">
                  <c:v>2549.3333333333335</c:v>
                </c:pt>
                <c:pt idx="44">
                  <c:v>2917</c:v>
                </c:pt>
                <c:pt idx="45">
                  <c:v>3096</c:v>
                </c:pt>
                <c:pt idx="46">
                  <c:v>2745</c:v>
                </c:pt>
                <c:pt idx="47">
                  <c:v>2440.6666666666665</c:v>
                </c:pt>
                <c:pt idx="48">
                  <c:v>2053.3333333333335</c:v>
                </c:pt>
                <c:pt idx="49">
                  <c:v>1944</c:v>
                </c:pt>
                <c:pt idx="50">
                  <c:v>2341</c:v>
                </c:pt>
                <c:pt idx="51">
                  <c:v>2626</c:v>
                </c:pt>
                <c:pt idx="52">
                  <c:v>2842.3333333333335</c:v>
                </c:pt>
                <c:pt idx="53">
                  <c:v>2400.3333333333335</c:v>
                </c:pt>
                <c:pt idx="54">
                  <c:v>2103</c:v>
                </c:pt>
                <c:pt idx="55">
                  <c:v>1881.3333333333333</c:v>
                </c:pt>
                <c:pt idx="56">
                  <c:v>1905.3333333333333</c:v>
                </c:pt>
                <c:pt idx="57">
                  <c:v>2122.6666666666665</c:v>
                </c:pt>
                <c:pt idx="58">
                  <c:v>2546</c:v>
                </c:pt>
                <c:pt idx="59">
                  <c:v>2672.3333333333335</c:v>
                </c:pt>
                <c:pt idx="60">
                  <c:v>2861.3333333333335</c:v>
                </c:pt>
                <c:pt idx="61">
                  <c:v>2539.6666666666665</c:v>
                </c:pt>
                <c:pt idx="62">
                  <c:v>2424</c:v>
                </c:pt>
                <c:pt idx="63">
                  <c:v>1951.6666666666667</c:v>
                </c:pt>
                <c:pt idx="64">
                  <c:v>2270.6666666666665</c:v>
                </c:pt>
                <c:pt idx="65">
                  <c:v>1963</c:v>
                </c:pt>
                <c:pt idx="66">
                  <c:v>1835.3333333333333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3-49A1-BD34-3EFF9E9B9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725984"/>
        <c:axId val="229732704"/>
      </c:lineChart>
      <c:catAx>
        <c:axId val="2297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32704"/>
        <c:crosses val="autoZero"/>
        <c:auto val="1"/>
        <c:lblAlgn val="ctr"/>
        <c:lblOffset val="100"/>
        <c:noMultiLvlLbl val="0"/>
      </c:catAx>
      <c:valAx>
        <c:axId val="2297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957943</xdr:colOff>
      <xdr:row>14</xdr:row>
      <xdr:rowOff>38100</xdr:rowOff>
    </xdr:from>
    <xdr:to>
      <xdr:col>14</xdr:col>
      <xdr:colOff>468086</xdr:colOff>
      <xdr:row>28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A98F00-9632-2EC0-7341-B7CAB009A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824468</xdr:colOff>
      <xdr:row>9</xdr:row>
      <xdr:rowOff>117985</xdr:rowOff>
    </xdr:from>
    <xdr:to>
      <xdr:col>4</xdr:col>
      <xdr:colOff>1321594</xdr:colOff>
      <xdr:row>26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5B306-D6FC-4830-DF06-2D11FB515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452914</xdr:colOff>
      <xdr:row>2</xdr:row>
      <xdr:rowOff>88582</xdr:rowOff>
    </xdr:from>
    <xdr:to>
      <xdr:col>18</xdr:col>
      <xdr:colOff>321469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A09A7-F8C7-2249-6D54-C82A80FA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l" refreshedDate="46069.860258912035" createdVersion="8" refreshedVersion="8" minRefreshableVersion="3" recordCount="300" xr:uid="{F3B2E1AD-C8BB-4E18-8F01-9E56D92ABBC7}">
  <cacheSource type="worksheet">
    <worksheetSource ref="A1:N301" sheet="Posts_clean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6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_1" numFmtId="0">
      <sharedItems/>
    </cacheField>
    <cacheField name="Hashtag_2" numFmtId="0">
      <sharedItems containsBlank="1"/>
    </cacheField>
    <cacheField name="Engagement_Rate" numFmtId="1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l" refreshedDate="46069.892642476851" createdVersion="8" refreshedVersion="8" minRefreshableVersion="3" recordCount="300" xr:uid="{AF80C071-EB23-49FE-89E9-AA6FE8EBF52E}">
  <cacheSource type="worksheet">
    <worksheetSource ref="A1:O301" sheet="Posts_clean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6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_1" numFmtId="0">
      <sharedItems count="4">
        <s v="#SoundtrackOfLife"/>
        <s v="#DiscoverWeekly"/>
        <s v="#MusicForEveryone"/>
        <s v="#NowPlaying"/>
      </sharedItems>
    </cacheField>
    <cacheField name="Hashtag_2" numFmtId="0">
      <sharedItems containsBlank="1" count="5">
        <s v="#NowPlaying"/>
        <m/>
        <s v="#SpotifyWrapped"/>
        <s v="#MusicForEveryone"/>
        <s v="#SoundtrackOfLife"/>
      </sharedItems>
    </cacheField>
    <cacheField name="Engagement_Rate" numFmtId="10">
      <sharedItems containsSemiMixedTypes="0" containsString="0" containsNumber="1" minValue="2.50275284149232E-2" maxValue="0.26064752360763155"/>
    </cacheField>
    <cacheField name="Rank" numFmtId="0">
      <sharedItems containsSemiMixedTypes="0" containsString="0" containsNumber="1" containsInteger="1" minValue="1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l" refreshedDate="46070.470286342592" createdVersion="8" refreshedVersion="8" minRefreshableVersion="3" recordCount="200" xr:uid="{BBC33D45-17BC-43CD-9145-FC2940709320}">
  <cacheSource type="worksheet">
    <worksheetSource ref="A1:G201" sheet="Engagement_Summary_clean"/>
  </cacheSource>
  <cacheFields count="11">
    <cacheField name="Week_Start_Date" numFmtId="166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 Gain" numFmtId="0" formula="New_Followers-Unfollows" databaseField="0"/>
    <cacheField name="Growth Rate" numFmtId="0" formula=" (New_Followers-Unfollows) /Total_Followers" databaseField="0"/>
    <cacheField name="Cost per Follower" numFmtId="0" formula="Ad_Spend/New_Followers" databaseField="0"/>
    <cacheField name="ROI Score" numFmtId="0" formula="New_Followers/Ad_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l" refreshedDate="46070.938117245372" createdVersion="8" refreshedVersion="8" minRefreshableVersion="3" recordCount="483" xr:uid="{327A7A1C-9591-4E4E-86E7-DD9E7F282369}">
  <cacheSource type="worksheet">
    <worksheetSource name="Table1"/>
  </cacheSource>
  <cacheFields count="15">
    <cacheField name="Post 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Engagement_Rate" numFmtId="0">
      <sharedItems containsSemiMixedTypes="0" containsString="0" containsNumber="1" minValue="2.50275284149232E-2" maxValue="0.26064752360763155"/>
    </cacheField>
    <cacheField name="Rank" numFmtId="0">
      <sharedItems containsSemiMixedTypes="0" containsString="0" containsNumber="1" containsInteger="1" minValue="1" maxValue="300"/>
    </cacheField>
    <cacheField name="Value" numFmtId="0">
      <sharedItems count="5">
        <s v="#SoundtrackOfLife"/>
        <s v="#NowPlaying"/>
        <s v="#DiscoverWeekly"/>
        <s v="#MusicForEveryone"/>
        <s v="#SpotifyWrapped"/>
      </sharedItems>
    </cacheField>
    <cacheField name="Total_Engagement" numFmtId="0">
      <sharedItems containsSemiMixedTypes="0" containsString="0" containsNumber="1" containsInteger="1" minValue="1341" maxValue="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l" refreshedDate="46072.077928240738" createdVersion="8" refreshedVersion="8" minRefreshableVersion="3" recordCount="300" xr:uid="{93F85221-E318-47DB-BDED-DCB4947D6610}">
  <cacheSource type="worksheet">
    <worksheetSource name="Table2"/>
  </cacheSource>
  <cacheFields count="20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_1" numFmtId="0">
      <sharedItems/>
    </cacheField>
    <cacheField name="Hashtag_2" numFmtId="0">
      <sharedItems containsBlank="1"/>
    </cacheField>
    <cacheField name="Engagement_Rate" numFmtId="10">
      <sharedItems containsSemiMixedTypes="0" containsString="0" containsNumber="1" minValue="2.50275284149232E-2" maxValue="0.26064752360763155"/>
    </cacheField>
    <cacheField name="Rank" numFmtId="0">
      <sharedItems containsSemiMixedTypes="0" containsString="0" containsNumber="1" containsInteger="1" minValue="1" maxValue="300"/>
    </cacheField>
    <cacheField name="Total_Engagement" numFmtId="0">
      <sharedItems containsSemiMixedTypes="0" containsString="0" containsNumber="1" containsInteger="1" minValue="1341" maxValue="5728"/>
    </cacheField>
    <cacheField name="Campaign_Name" numFmtId="0">
      <sharedItems count="5">
        <s v="No Campaign"/>
        <s v="ChillVibes"/>
        <s v="Wrapped2024"/>
        <s v="SummerBeats"/>
        <s v="IndieWave"/>
      </sharedItems>
    </cacheField>
    <cacheField name="Campaign_Period" numFmtId="0">
      <sharedItems count="4">
        <s v="Other"/>
        <s v="During"/>
        <s v="Before"/>
        <s v="No Campaign" u="1"/>
      </sharedItems>
    </cacheField>
    <cacheField name="Impact_Period" numFmtId="0">
      <sharedItems count="2">
        <s v=""/>
        <s v="During"/>
      </sharedItems>
    </cacheField>
    <cacheField name="CTR(%)" numFmtId="0" formula="Clicks/Impres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l" refreshedDate="46073.005704861112" createdVersion="8" refreshedVersion="8" minRefreshableVersion="3" recordCount="200" xr:uid="{DA1BAAFC-3CBF-4F83-B207-AAE2BAD55CD2}">
  <cacheSource type="worksheet">
    <worksheetSource name="Table3"/>
  </cacheSource>
  <cacheFields count="9">
    <cacheField name="Week_Start_Date" numFmtId="166">
      <sharedItems containsSemiMixedTypes="0" containsNonDate="0" containsDate="1" containsString="0" minDate="2024-06-03T00:00:00" maxDate="2025-09-09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_Increase" numFmtId="0">
      <sharedItems containsSemiMixedTypes="0" containsString="0" containsNumber="1" containsInteger="1" minValue="250" maxValue="1397"/>
    </cacheField>
    <cacheField name="Week_Number" numFmtId="0">
      <sharedItems count="119">
        <s v="2024-W01"/>
        <s v="2024-W23"/>
        <s v="2024-W24"/>
        <s v="2024-W25"/>
        <s v="2024-W26"/>
        <s v="2024-W27"/>
        <s v="2024-W28"/>
        <s v="2024-W29"/>
        <s v="2024-W30"/>
        <s v="2024-W31"/>
        <s v="2024-W32"/>
        <s v="2024-W33"/>
        <s v="2024-W34"/>
        <s v="2024-W35"/>
        <s v="2024-W36"/>
        <s v="2024-W37"/>
        <s v="2024-W38"/>
        <s v="2024-W39"/>
        <s v="2024-W40"/>
        <s v="2024-W41"/>
        <s v="2024-W42"/>
        <s v="2024-W43"/>
        <s v="2024-W44"/>
        <s v="2024-W45"/>
        <s v="2024-W46"/>
        <s v="2024-W47"/>
        <s v="2024-W48"/>
        <s v="2024-W49"/>
        <s v="2024-W50"/>
        <s v="2024-W51"/>
        <s v="2024-W52"/>
        <s v="2025-W02"/>
        <s v="2025-W03"/>
        <s v="2025-W04"/>
        <s v="2025-W05"/>
        <s v="2025-W06"/>
        <s v="2025-W07"/>
        <s v="2025-W08"/>
        <s v="2025-W09"/>
        <s v="2025-W10"/>
        <s v="2025-W11"/>
        <s v="2025-W12"/>
        <s v="2025-W13"/>
        <s v="2025-W14"/>
        <s v="2025-W15"/>
        <s v="2025-W16"/>
        <s v="2025-W17"/>
        <s v="2025-W18"/>
        <s v="2025-W19"/>
        <s v="2025-W20"/>
        <s v="2025-W21"/>
        <s v="2025-W22"/>
        <s v="2025-W23"/>
        <s v="2025-W24"/>
        <s v="2025-W25"/>
        <s v="2025-W26"/>
        <s v="2025-W27"/>
        <s v="2025-W28"/>
        <s v="2025-W29"/>
        <s v="2025-W30"/>
        <s v="2025-W31"/>
        <s v="2025-W32"/>
        <s v="2025-W33"/>
        <s v="2025-W34"/>
        <s v="2025-W35"/>
        <s v="2025-W36"/>
        <s v="2025-W37"/>
        <s v="Week-23" u="1"/>
        <s v="Week-24" u="1"/>
        <s v="Week-25" u="1"/>
        <s v="Week-26" u="1"/>
        <s v="Week-27" u="1"/>
        <s v="Week-28" u="1"/>
        <s v="Week-29" u="1"/>
        <s v="Week-30" u="1"/>
        <s v="Week-31" u="1"/>
        <s v="Week-32" u="1"/>
        <s v="Week-33" u="1"/>
        <s v="Week-34" u="1"/>
        <s v="Week-35" u="1"/>
        <s v="Week-36" u="1"/>
        <s v="Week-37" u="1"/>
        <s v="Week-38" u="1"/>
        <s v="Week-39" u="1"/>
        <s v="Week-40" u="1"/>
        <s v="Week-41" u="1"/>
        <s v="Week-42" u="1"/>
        <s v="Week-43" u="1"/>
        <s v="Week-44" u="1"/>
        <s v="Week-45" u="1"/>
        <s v="Week-46" u="1"/>
        <s v="Week-47" u="1"/>
        <s v="Week-48" u="1"/>
        <s v="Week-49" u="1"/>
        <s v="Week-50" u="1"/>
        <s v="Week-51" u="1"/>
        <s v="Week-52" u="1"/>
        <s v="Week-1" u="1"/>
        <s v="Week-2" u="1"/>
        <s v="Week-3" u="1"/>
        <s v="Week-4" u="1"/>
        <s v="Week-5" u="1"/>
        <s v="Week-6" u="1"/>
        <s v="Week-7" u="1"/>
        <s v="Week-8" u="1"/>
        <s v="Week-9" u="1"/>
        <s v="Week-10" u="1"/>
        <s v="Week-11" u="1"/>
        <s v="Week-12" u="1"/>
        <s v="Week-13" u="1"/>
        <s v="Week-14" u="1"/>
        <s v="Week-15" u="1"/>
        <s v="Week-16" u="1"/>
        <s v="Week-17" u="1"/>
        <s v="Week-18" u="1"/>
        <s v="Week-19" u="1"/>
        <s v="Week-20" u="1"/>
        <s v="Week-21" u="1"/>
        <s v="Week-2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s v="Text"/>
    <s v="Discover fresh beats on Spotify!"/>
    <n v="2414"/>
    <n v="245"/>
    <n v="137"/>
    <n v="21181"/>
    <n v="45292"/>
    <n v="133"/>
    <s v="#SoundtrackOfLife"/>
    <s v="#NowPlaying"/>
    <n v="0.13200509890939993"/>
  </r>
  <r>
    <s v="SP002"/>
    <x v="0"/>
    <d v="2025-02-01T00:00:00"/>
    <s v="Text"/>
    <s v="Explore the latest podcasts now."/>
    <n v="1934"/>
    <n v="210"/>
    <n v="393"/>
    <n v="29129"/>
    <n v="73287"/>
    <n v="273"/>
    <s v="#DiscoverWeekly"/>
    <m/>
    <n v="8.7095334546328396E-2"/>
  </r>
  <r>
    <s v="SP003"/>
    <x v="1"/>
    <d v="2024-12-03T00:00:00"/>
    <s v="Story"/>
    <s v="New music just dropped. Hit play!"/>
    <n v="3092"/>
    <n v="177"/>
    <n v="81"/>
    <n v="47533"/>
    <n v="29220"/>
    <n v="121"/>
    <s v="#MusicForEveryone"/>
    <s v="#NowPlaying"/>
    <n v="7.0477352576105018E-2"/>
  </r>
  <r>
    <s v="SP004"/>
    <x v="0"/>
    <d v="2024-12-03T00:00:00"/>
    <s v="Text"/>
    <s v="Wrapped is here! Relive your top tracks "/>
    <n v="3173"/>
    <n v="229"/>
    <n v="197"/>
    <n v="29604"/>
    <n v="21809"/>
    <n v="272"/>
    <s v="#SoundtrackOfLife"/>
    <s v="#NowPlaying"/>
    <n v="0.1215714092690177"/>
  </r>
  <r>
    <s v="SP005"/>
    <x v="2"/>
    <d v="2024-04-06T00:00:00"/>
    <s v="Text"/>
    <s v="Music that moves you-only on Spotify."/>
    <n v="2748"/>
    <n v="145"/>
    <n v="315"/>
    <n v="24401"/>
    <n v="61182"/>
    <n v="200"/>
    <s v="#DiscoverWeekly"/>
    <s v="#SpotifyWrapped"/>
    <n v="0.1314700217204213"/>
  </r>
  <r>
    <s v="SP006"/>
    <x v="2"/>
    <d v="2024-06-13T00:00:00"/>
    <s v="Text"/>
    <s v="What's your vibe today? #SpotifyHits"/>
    <n v="3882"/>
    <n v="239"/>
    <n v="275"/>
    <n v="58748"/>
    <n v="44646"/>
    <n v="149"/>
    <s v="#DiscoverWeekly"/>
    <s v="#SpotifyWrapped"/>
    <n v="7.4828079253761837E-2"/>
  </r>
  <r>
    <s v="SP007"/>
    <x v="1"/>
    <d v="2024-12-19T00:00:00"/>
    <s v="Story"/>
    <s v="Get into the groove with our new drop!"/>
    <n v="4674"/>
    <n v="409"/>
    <n v="327"/>
    <n v="20756"/>
    <n v="63599"/>
    <n v="212"/>
    <s v="#SoundtrackOfLife"/>
    <s v="#NowPlaying"/>
    <n v="0.26064752360763155"/>
  </r>
  <r>
    <s v="SP008"/>
    <x v="1"/>
    <d v="2024-05-09T00:00:00"/>
    <s v="Story"/>
    <s v="Wrapped is here! Relive your top tracks "/>
    <n v="1428"/>
    <n v="347"/>
    <n v="67"/>
    <n v="21148"/>
    <n v="19712"/>
    <n v="120"/>
    <s v="#DiscoverWeekly"/>
    <s v="#MusicForEveryone"/>
    <n v="8.7100435029317191E-2"/>
  </r>
  <r>
    <s v="SP009"/>
    <x v="1"/>
    <d v="2025-06-15T00:00:00"/>
    <s v="Text"/>
    <s v="Top trending tracks updated daily!"/>
    <n v="4432"/>
    <n v="223"/>
    <n v="299"/>
    <n v="59016"/>
    <n v="21742"/>
    <n v="171"/>
    <s v="#NowPlaying"/>
    <m/>
    <n v="8.3943337400027115E-2"/>
  </r>
  <r>
    <s v="SP010"/>
    <x v="1"/>
    <d v="2024-12-04T00:00:00"/>
    <s v="Text"/>
    <s v="Wrapped is here! Relive your top tracks "/>
    <n v="2357"/>
    <n v="274"/>
    <n v="172"/>
    <n v="21566"/>
    <n v="66829"/>
    <n v="284"/>
    <s v="#NowPlaying"/>
    <m/>
    <n v="0.12997310581470833"/>
  </r>
  <r>
    <s v="SP011"/>
    <x v="1"/>
    <d v="2024-03-06T00:00:00"/>
    <s v="Text"/>
    <s v="Discover fresh beats on Spotify!"/>
    <n v="1971"/>
    <n v="370"/>
    <n v="306"/>
    <n v="31316"/>
    <n v="27897"/>
    <n v="88"/>
    <s v="#SoundtrackOfLife"/>
    <m/>
    <n v="8.4525482181632389E-2"/>
  </r>
  <r>
    <s v="SP012"/>
    <x v="0"/>
    <d v="2024-05-14T00:00:00"/>
    <s v="Text"/>
    <s v="Discover fresh beats on Spotify!"/>
    <n v="1485"/>
    <n v="353"/>
    <n v="244"/>
    <n v="38419"/>
    <n v="38556"/>
    <n v="86"/>
    <s v="#SoundtrackOfLife"/>
    <s v="#NowPlaying"/>
    <n v="5.4191936281527367E-2"/>
  </r>
  <r>
    <s v="SP013"/>
    <x v="1"/>
    <d v="2025-06-18T00:00:00"/>
    <s v="Story"/>
    <s v="Discover fresh beats on Spotify!"/>
    <n v="3956"/>
    <n v="319"/>
    <n v="61"/>
    <n v="58162"/>
    <n v="28720"/>
    <n v="213"/>
    <s v="#MusicForEveryone"/>
    <s v="#NowPlaying"/>
    <n v="7.4550393727863554E-2"/>
  </r>
  <r>
    <s v="SP014"/>
    <x v="1"/>
    <d v="2024-10-08T00:00:00"/>
    <s v="Text"/>
    <s v="From pop to podcasts, it's all here."/>
    <n v="2460"/>
    <n v="409"/>
    <n v="253"/>
    <n v="36702"/>
    <n v="46122"/>
    <n v="264"/>
    <s v="#NowPlaying"/>
    <m/>
    <n v="8.5063484278785892E-2"/>
  </r>
  <r>
    <s v="SP015"/>
    <x v="1"/>
    <d v="2024-05-06T00:00:00"/>
    <s v="Text"/>
    <s v="Your weekend playlist is waiting."/>
    <n v="3476"/>
    <n v="355"/>
    <n v="396"/>
    <n v="37492"/>
    <n v="27285"/>
    <n v="179"/>
    <s v="#NowPlaying"/>
    <m/>
    <n v="0.11274405206444041"/>
  </r>
  <r>
    <s v="SP016"/>
    <x v="1"/>
    <d v="2024-12-29T00:00:00"/>
    <s v="Story"/>
    <s v="New music just dropped. Hit play!"/>
    <n v="4049"/>
    <n v="377"/>
    <n v="94"/>
    <n v="48182"/>
    <n v="42875"/>
    <n v="172"/>
    <s v="#MusicForEveryone"/>
    <s v="#NowPlaying"/>
    <n v="9.3810966751068869E-2"/>
  </r>
  <r>
    <s v="SP017"/>
    <x v="1"/>
    <d v="2024-06-10T00:00:00"/>
    <s v="Text"/>
    <s v="What's your vibe today? #SpotifyHits"/>
    <n v="1514"/>
    <n v="164"/>
    <n v="275"/>
    <n v="41364"/>
    <n v="44389"/>
    <n v="83"/>
    <s v="#NowPlaying"/>
    <m/>
    <n v="4.7214969538729328E-2"/>
  </r>
  <r>
    <s v="SP018"/>
    <x v="0"/>
    <d v="2024-02-03T00:00:00"/>
    <s v="Story"/>
    <s v="Music that moves you-only on Spotify."/>
    <n v="4281"/>
    <n v="101"/>
    <n v="163"/>
    <n v="32278"/>
    <n v="53382"/>
    <n v="235"/>
    <s v="#NowPlaying"/>
    <m/>
    <n v="0.1408079806679472"/>
  </r>
  <r>
    <s v="SP019"/>
    <x v="2"/>
    <d v="2024-06-15T00:00:00"/>
    <s v="Reel"/>
    <s v="Get into the groove with our new drop!"/>
    <n v="1751"/>
    <n v="143"/>
    <n v="151"/>
    <n v="31826"/>
    <n v="47729"/>
    <n v="95"/>
    <s v="#DiscoverWeekly"/>
    <s v="#SoundtrackOfLife"/>
    <n v="6.4255640042732362E-2"/>
  </r>
  <r>
    <s v="SP020"/>
    <x v="0"/>
    <d v="2024-07-05T00:00:00"/>
    <s v="Text"/>
    <s v="Your weekend playlist is waiting."/>
    <n v="3753"/>
    <n v="411"/>
    <n v="308"/>
    <n v="29138"/>
    <n v="27678"/>
    <n v="90"/>
    <s v="#DiscoverWeekly"/>
    <m/>
    <n v="0.15347655981879332"/>
  </r>
  <r>
    <s v="SP021"/>
    <x v="0"/>
    <d v="2024-11-07T00:00:00"/>
    <s v="Story"/>
    <s v="Wrapped is here! Relive your top tracks "/>
    <n v="1678"/>
    <n v="423"/>
    <n v="323"/>
    <n v="55668"/>
    <n v="37945"/>
    <n v="230"/>
    <s v="#NowPlaying"/>
    <m/>
    <n v="4.3543867212761371E-2"/>
  </r>
  <r>
    <s v="SP022"/>
    <x v="0"/>
    <d v="2025-06-15T00:00:00"/>
    <s v="Text"/>
    <s v="What's your vibe today? #SpotifyHits"/>
    <n v="4896"/>
    <n v="466"/>
    <n v="233"/>
    <n v="28621"/>
    <n v="34270"/>
    <n v="84"/>
    <s v="#SoundtrackOfLife"/>
    <s v="#NowPlaying"/>
    <n v="0.19548583208133888"/>
  </r>
  <r>
    <s v="SP023"/>
    <x v="2"/>
    <d v="2024-06-09T00:00:00"/>
    <s v="Reel"/>
    <s v="From pop to podcasts, it's all here."/>
    <n v="2786"/>
    <n v="368"/>
    <n v="208"/>
    <n v="42000"/>
    <n v="39967"/>
    <n v="103"/>
    <s v="#DiscoverWeekly"/>
    <s v="#SoundtrackOfLife"/>
    <n v="8.0047619047619048E-2"/>
  </r>
  <r>
    <s v="SP024"/>
    <x v="1"/>
    <d v="2024-10-18T00:00:00"/>
    <s v="Text"/>
    <s v="New music just dropped. Hit play!"/>
    <n v="2607"/>
    <n v="379"/>
    <n v="180"/>
    <n v="28712"/>
    <n v="61620"/>
    <n v="174"/>
    <s v="#SoundtrackOfLife"/>
    <m/>
    <n v="0.11026748397882419"/>
  </r>
  <r>
    <s v="SP025"/>
    <x v="2"/>
    <d v="2024-10-10T00:00:00"/>
    <s v="Reel"/>
    <s v="From pop to podcasts, it's all here."/>
    <n v="4013"/>
    <n v="320"/>
    <n v="92"/>
    <n v="54605"/>
    <n v="60169"/>
    <n v="232"/>
    <s v="#DiscoverWeekly"/>
    <s v="#SoundtrackOfLife"/>
    <n v="8.1036535115831879E-2"/>
  </r>
  <r>
    <s v="SP026"/>
    <x v="1"/>
    <d v="2025-05-14T00:00:00"/>
    <s v="Story"/>
    <s v="From pop to podcasts, it's all here."/>
    <n v="2707"/>
    <n v="103"/>
    <n v="51"/>
    <n v="55302"/>
    <n v="18801"/>
    <n v="147"/>
    <s v="#DiscoverWeekly"/>
    <s v="#MusicForEveryone"/>
    <n v="5.173411449857148E-2"/>
  </r>
  <r>
    <s v="SP027"/>
    <x v="0"/>
    <d v="2024-11-29T00:00:00"/>
    <s v="Text"/>
    <s v="What's your vibe today? #SpotifyHits"/>
    <n v="2824"/>
    <n v="425"/>
    <n v="274"/>
    <n v="31004"/>
    <n v="53488"/>
    <n v="268"/>
    <s v="#SoundtrackOfLife"/>
    <s v="#NowPlaying"/>
    <n v="0.11363049929041415"/>
  </r>
  <r>
    <s v="SP028"/>
    <x v="2"/>
    <d v="2024-03-05T00:00:00"/>
    <s v="Reel"/>
    <s v="Explore the latest podcasts now."/>
    <n v="3558"/>
    <n v="314"/>
    <n v="199"/>
    <n v="49612"/>
    <n v="53929"/>
    <n v="206"/>
    <s v="#DiscoverWeekly"/>
    <s v="#SoundtrackOfLife"/>
    <n v="8.205676046117874E-2"/>
  </r>
  <r>
    <s v="SP029"/>
    <x v="1"/>
    <d v="2025-03-18T00:00:00"/>
    <s v="Story"/>
    <s v="Explore the latest podcasts now."/>
    <n v="3418"/>
    <n v="188"/>
    <n v="387"/>
    <n v="57431"/>
    <n v="36933"/>
    <n v="202"/>
    <s v="#MusicForEveryone"/>
    <s v="#NowPlaying"/>
    <n v="6.9526910553533799E-2"/>
  </r>
  <r>
    <s v="SP030"/>
    <x v="1"/>
    <d v="2025-04-26T00:00:00"/>
    <s v="Text"/>
    <s v="Discover fresh beats on Spotify!"/>
    <n v="2411"/>
    <n v="194"/>
    <n v="168"/>
    <n v="26665"/>
    <n v="71699"/>
    <n v="197"/>
    <s v="#NowPlaying"/>
    <m/>
    <n v="0.10399399962497656"/>
  </r>
  <r>
    <s v="SP031"/>
    <x v="0"/>
    <d v="2025-01-01T00:00:00"/>
    <s v="Text"/>
    <s v="New music just dropped. Hit play!"/>
    <n v="4036"/>
    <n v="112"/>
    <n v="382"/>
    <n v="56284"/>
    <n v="29440"/>
    <n v="279"/>
    <s v="#SoundtrackOfLife"/>
    <s v="#NowPlaying"/>
    <n v="8.0484684812735408E-2"/>
  </r>
  <r>
    <s v="SP032"/>
    <x v="1"/>
    <d v="2024-05-07T00:00:00"/>
    <s v="Story"/>
    <s v="Explore the latest podcasts now."/>
    <n v="2776"/>
    <n v="307"/>
    <n v="178"/>
    <n v="43365"/>
    <n v="48408"/>
    <n v="138"/>
    <s v="#SoundtrackOfLife"/>
    <s v="#NowPlaying"/>
    <n v="7.519889311656866E-2"/>
  </r>
  <r>
    <s v="SP033"/>
    <x v="1"/>
    <d v="2024-10-09T00:00:00"/>
    <s v="Story"/>
    <s v="Discover fresh beats on Spotify!"/>
    <n v="4929"/>
    <n v="182"/>
    <n v="95"/>
    <n v="32181"/>
    <n v="31084"/>
    <n v="289"/>
    <s v="#DiscoverWeekly"/>
    <s v="#MusicForEveryone"/>
    <n v="0.16177247444144061"/>
  </r>
  <r>
    <s v="SP034"/>
    <x v="0"/>
    <d v="2025-01-09T00:00:00"/>
    <s v="Text"/>
    <s v="New music just dropped. Hit play!"/>
    <n v="1015"/>
    <n v="366"/>
    <n v="308"/>
    <n v="38127"/>
    <n v="63790"/>
    <n v="287"/>
    <s v="#SoundtrackOfLife"/>
    <s v="#NowPlaying"/>
    <n v="4.4299315445747112E-2"/>
  </r>
  <r>
    <s v="SP035"/>
    <x v="1"/>
    <d v="2025-05-08T00:00:00"/>
    <s v="Story"/>
    <s v="Your weekend playlist is waiting."/>
    <n v="3316"/>
    <n v="332"/>
    <n v="268"/>
    <n v="40095"/>
    <n v="36913"/>
    <n v="265"/>
    <s v="#MusicForEveryone"/>
    <s v="#NowPlaying"/>
    <n v="9.7668038408779148E-2"/>
  </r>
  <r>
    <s v="SP036"/>
    <x v="0"/>
    <d v="2024-05-04T00:00:00"/>
    <s v="Text"/>
    <s v="Wrapped is here! Relive your top tracks "/>
    <n v="2274"/>
    <n v="243"/>
    <n v="222"/>
    <n v="43066"/>
    <n v="59174"/>
    <n v="80"/>
    <s v="#DiscoverWeekly"/>
    <m/>
    <n v="6.3600055728416843E-2"/>
  </r>
  <r>
    <s v="SP037"/>
    <x v="1"/>
    <d v="2025-05-27T00:00:00"/>
    <s v="Story"/>
    <s v="Explore the latest podcasts now."/>
    <n v="4095"/>
    <n v="385"/>
    <n v="400"/>
    <n v="45300"/>
    <n v="31795"/>
    <n v="80"/>
    <s v="#MusicForEveryone"/>
    <s v="#NowPlaying"/>
    <n v="0.10772626931567329"/>
  </r>
  <r>
    <s v="SP038"/>
    <x v="0"/>
    <d v="2024-09-10T00:00:00"/>
    <s v="Story"/>
    <s v="New music just dropped. Hit play!"/>
    <n v="1230"/>
    <n v="309"/>
    <n v="207"/>
    <n v="44629"/>
    <n v="40699"/>
    <n v="195"/>
    <s v="#NowPlaying"/>
    <m/>
    <n v="3.9122543637545096E-2"/>
  </r>
  <r>
    <s v="SP039"/>
    <x v="0"/>
    <d v="2024-11-25T00:00:00"/>
    <s v="Text"/>
    <s v="From pop to podcasts, it's all here."/>
    <n v="1341"/>
    <n v="472"/>
    <n v="238"/>
    <n v="51386"/>
    <n v="51706"/>
    <n v="133"/>
    <s v="#DiscoverWeekly"/>
    <m/>
    <n v="3.9913595142645857E-2"/>
  </r>
  <r>
    <s v="SP040"/>
    <x v="1"/>
    <d v="2025-06-10T00:00:00"/>
    <s v="Text"/>
    <s v="Explore the latest podcasts now."/>
    <n v="3615"/>
    <n v="192"/>
    <n v="162"/>
    <n v="27492"/>
    <n v="35341"/>
    <n v="125"/>
    <s v="#NowPlaying"/>
    <m/>
    <n v="0.14436927106067218"/>
  </r>
  <r>
    <s v="SP041"/>
    <x v="0"/>
    <d v="2024-04-19T00:00:00"/>
    <s v="Text"/>
    <s v="New music just dropped. Hit play!"/>
    <n v="4001"/>
    <n v="353"/>
    <n v="129"/>
    <n v="41265"/>
    <n v="37279"/>
    <n v="275"/>
    <s v="#SoundtrackOfLife"/>
    <s v="#NowPlaying"/>
    <n v="0.10863928268508422"/>
  </r>
  <r>
    <s v="SP042"/>
    <x v="0"/>
    <d v="2025-01-26T00:00:00"/>
    <s v="Story"/>
    <s v="What's your vibe today? #SpotifyHits"/>
    <n v="3451"/>
    <n v="363"/>
    <n v="393"/>
    <n v="44853"/>
    <n v="69032"/>
    <n v="211"/>
    <s v="#NowPlaying"/>
    <m/>
    <n v="9.379528682585335E-2"/>
  </r>
  <r>
    <s v="SP043"/>
    <x v="0"/>
    <d v="2025-02-14T00:00:00"/>
    <s v="Text"/>
    <s v="Top trending tracks updated daily!"/>
    <n v="4891"/>
    <n v="450"/>
    <n v="387"/>
    <n v="48746"/>
    <n v="37312"/>
    <n v="154"/>
    <s v="#SoundtrackOfLife"/>
    <s v="#NowPlaying"/>
    <n v="0.11750707750379519"/>
  </r>
  <r>
    <s v="SP044"/>
    <x v="0"/>
    <d v="2024-09-06T00:00:00"/>
    <s v="Text"/>
    <s v="New music just dropped. Hit play!"/>
    <n v="1452"/>
    <n v="281"/>
    <n v="326"/>
    <n v="51556"/>
    <n v="62599"/>
    <n v="290"/>
    <s v="#DiscoverWeekly"/>
    <m/>
    <n v="3.9937155714174881E-2"/>
  </r>
  <r>
    <s v="SP045"/>
    <x v="2"/>
    <d v="2024-07-14T00:00:00"/>
    <s v="Text"/>
    <s v="Your weekend playlist is waiting."/>
    <n v="3806"/>
    <n v="114"/>
    <n v="278"/>
    <n v="36148"/>
    <n v="24209"/>
    <n v="201"/>
    <s v="#DiscoverWeekly"/>
    <s v="#SpotifyWrapped"/>
    <n v="0.11613367267898639"/>
  </r>
  <r>
    <s v="SP046"/>
    <x v="0"/>
    <d v="2024-02-12T00:00:00"/>
    <s v="Text"/>
    <s v="Explore the latest podcasts now."/>
    <n v="2923"/>
    <n v="330"/>
    <n v="250"/>
    <n v="23993"/>
    <n v="74590"/>
    <n v="92"/>
    <s v="#DiscoverWeekly"/>
    <m/>
    <n v="0.14600091693410577"/>
  </r>
  <r>
    <s v="SP047"/>
    <x v="2"/>
    <d v="2024-03-14T00:00:00"/>
    <s v="Reel"/>
    <s v="From pop to podcasts, it's all here."/>
    <n v="3361"/>
    <n v="188"/>
    <n v="358"/>
    <n v="39838"/>
    <n v="24536"/>
    <n v="120"/>
    <s v="#DiscoverWeekly"/>
    <s v="#SoundtrackOfLife"/>
    <n v="9.8072192379135503E-2"/>
  </r>
  <r>
    <s v="SP048"/>
    <x v="0"/>
    <d v="2025-02-05T00:00:00"/>
    <s v="Story"/>
    <s v="Music that moves you-only on Spotify."/>
    <n v="3074"/>
    <n v="371"/>
    <n v="348"/>
    <n v="24104"/>
    <n v="57803"/>
    <n v="213"/>
    <s v="#NowPlaying"/>
    <m/>
    <n v="0.15735977431131762"/>
  </r>
  <r>
    <s v="SP049"/>
    <x v="1"/>
    <d v="2024-08-29T00:00:00"/>
    <s v="Story"/>
    <s v="Get into the groove with our new drop!"/>
    <n v="4276"/>
    <n v="227"/>
    <n v="223"/>
    <n v="43443"/>
    <n v="41005"/>
    <n v="191"/>
    <s v="#DiscoverWeekly"/>
    <s v="#MusicForEveryone"/>
    <n v="0.1087862256289851"/>
  </r>
  <r>
    <s v="SP050"/>
    <x v="1"/>
    <d v="2025-04-22T00:00:00"/>
    <s v="Text"/>
    <s v="Discover fresh beats on Spotify!"/>
    <n v="4401"/>
    <n v="421"/>
    <n v="216"/>
    <n v="24890"/>
    <n v="54361"/>
    <n v="148"/>
    <s v="#NowPlaying"/>
    <m/>
    <n v="0.20241060666934513"/>
  </r>
  <r>
    <s v="SP051"/>
    <x v="2"/>
    <d v="2024-05-13T00:00:00"/>
    <s v="Reel"/>
    <s v="Explore the latest podcasts now."/>
    <n v="4161"/>
    <n v="481"/>
    <n v="61"/>
    <n v="45884"/>
    <n v="48955"/>
    <n v="215"/>
    <s v="#DiscoverWeekly"/>
    <s v="#SoundtrackOfLife"/>
    <n v="0.10249760265016128"/>
  </r>
  <r>
    <s v="SP052"/>
    <x v="1"/>
    <d v="2024-09-04T00:00:00"/>
    <s v="Story"/>
    <s v="New music just dropped. Hit play!"/>
    <n v="2613"/>
    <n v="455"/>
    <n v="228"/>
    <n v="21645"/>
    <n v="61334"/>
    <n v="261"/>
    <s v="#DiscoverWeekly"/>
    <s v="#MusicForEveryone"/>
    <n v="0.15227535227535227"/>
  </r>
  <r>
    <s v="SP053"/>
    <x v="1"/>
    <d v="2024-08-12T00:00:00"/>
    <s v="Story"/>
    <s v="What's your vibe today? #SpotifyHits"/>
    <n v="2842"/>
    <n v="213"/>
    <n v="331"/>
    <n v="57660"/>
    <n v="68606"/>
    <n v="87"/>
    <s v="#MusicForEveryone"/>
    <s v="#NowPlaying"/>
    <n v="5.8723551855705859E-2"/>
  </r>
  <r>
    <s v="SP054"/>
    <x v="0"/>
    <d v="2025-03-06T00:00:00"/>
    <s v="Text"/>
    <s v="Get into the groove with our new drop!"/>
    <n v="4851"/>
    <n v="460"/>
    <n v="212"/>
    <n v="58075"/>
    <n v="59574"/>
    <n v="239"/>
    <s v="#DiscoverWeekly"/>
    <m/>
    <n v="9.5101162290142052E-2"/>
  </r>
  <r>
    <s v="SP055"/>
    <x v="1"/>
    <d v="2024-05-08T00:00:00"/>
    <s v="Text"/>
    <s v="Explore the latest podcasts now."/>
    <n v="1828"/>
    <n v="450"/>
    <n v="214"/>
    <n v="52115"/>
    <n v="19166"/>
    <n v="190"/>
    <s v="#NowPlaying"/>
    <m/>
    <n v="4.781732706514439E-2"/>
  </r>
  <r>
    <s v="SP056"/>
    <x v="0"/>
    <d v="2025-02-19T00:00:00"/>
    <s v="Story"/>
    <s v="From pop to podcasts, it's all here."/>
    <n v="2422"/>
    <n v="455"/>
    <n v="376"/>
    <n v="23428"/>
    <n v="46775"/>
    <n v="259"/>
    <s v="#NowPlaying"/>
    <m/>
    <n v="0.13885094758408742"/>
  </r>
  <r>
    <s v="SP057"/>
    <x v="0"/>
    <d v="2024-01-08T00:00:00"/>
    <s v="Text"/>
    <s v="Top trending tracks updated daily!"/>
    <n v="2683"/>
    <n v="405"/>
    <n v="223"/>
    <n v="31233"/>
    <n v="58106"/>
    <n v="291"/>
    <s v="#DiscoverWeekly"/>
    <m/>
    <n v="0.10600966926007749"/>
  </r>
  <r>
    <s v="SP058"/>
    <x v="2"/>
    <d v="2024-07-17T00:00:00"/>
    <s v="Text"/>
    <s v="Top trending tracks updated daily!"/>
    <n v="3135"/>
    <n v="110"/>
    <n v="215"/>
    <n v="39192"/>
    <n v="24744"/>
    <n v="177"/>
    <s v="#DiscoverWeekly"/>
    <s v="#SpotifyWrapped"/>
    <n v="8.8283323127168814E-2"/>
  </r>
  <r>
    <s v="SP059"/>
    <x v="2"/>
    <d v="2024-08-10T00:00:00"/>
    <s v="Text"/>
    <s v="From pop to podcasts, it's all here."/>
    <n v="1105"/>
    <n v="181"/>
    <n v="55"/>
    <n v="53581"/>
    <n v="74048"/>
    <n v="220"/>
    <s v="#DiscoverWeekly"/>
    <s v="#SpotifyWrapped"/>
    <n v="2.50275284149232E-2"/>
  </r>
  <r>
    <s v="SP060"/>
    <x v="2"/>
    <d v="2024-04-16T00:00:00"/>
    <s v="Text"/>
    <s v="Discover fresh beats on Spotify!"/>
    <n v="4674"/>
    <n v="326"/>
    <n v="62"/>
    <n v="45503"/>
    <n v="46814"/>
    <n v="116"/>
    <s v="#DiscoverWeekly"/>
    <s v="#SpotifyWrapped"/>
    <n v="0.11124541239039185"/>
  </r>
  <r>
    <s v="SP061"/>
    <x v="2"/>
    <d v="2024-01-01T00:00:00"/>
    <s v="Reel"/>
    <s v="Explore the latest podcasts now."/>
    <n v="3437"/>
    <n v="129"/>
    <n v="359"/>
    <n v="44558"/>
    <n v="30854"/>
    <n v="171"/>
    <s v="#DiscoverWeekly"/>
    <s v="#SoundtrackOfLife"/>
    <n v="8.8087436599488311E-2"/>
  </r>
  <r>
    <s v="SP062"/>
    <x v="1"/>
    <d v="2024-11-03T00:00:00"/>
    <s v="Story"/>
    <s v="Wrapped is here! Relive your top tracks "/>
    <n v="1959"/>
    <n v="316"/>
    <n v="82"/>
    <n v="54036"/>
    <n v="69015"/>
    <n v="182"/>
    <s v="#MusicForEveryone"/>
    <s v="#NowPlaying"/>
    <n v="4.3619068768968837E-2"/>
  </r>
  <r>
    <s v="SP063"/>
    <x v="1"/>
    <d v="2024-07-07T00:00:00"/>
    <s v="Text"/>
    <s v="New music just dropped. Hit play!"/>
    <n v="1035"/>
    <n v="137"/>
    <n v="184"/>
    <n v="37302"/>
    <n v="68953"/>
    <n v="237"/>
    <s v="#SoundtrackOfLife"/>
    <m/>
    <n v="3.6351938233874857E-2"/>
  </r>
  <r>
    <s v="SP064"/>
    <x v="1"/>
    <d v="2025-01-22T00:00:00"/>
    <s v="Story"/>
    <s v="New music just dropped. Hit play!"/>
    <n v="4478"/>
    <n v="101"/>
    <n v="121"/>
    <n v="51035"/>
    <n v="58207"/>
    <n v="205"/>
    <s v="#MusicForEveryone"/>
    <s v="#NowPlaying"/>
    <n v="9.2093661212893113E-2"/>
  </r>
  <r>
    <s v="SP065"/>
    <x v="2"/>
    <d v="2024-05-26T00:00:00"/>
    <s v="Text"/>
    <s v="From pop to podcasts, it's all here."/>
    <n v="1488"/>
    <n v="327"/>
    <n v="110"/>
    <n v="53805"/>
    <n v="30239"/>
    <n v="109"/>
    <s v="#DiscoverWeekly"/>
    <s v="#SpotifyWrapped"/>
    <n v="3.5777344113000653E-2"/>
  </r>
  <r>
    <s v="SP066"/>
    <x v="0"/>
    <d v="2025-04-16T00:00:00"/>
    <s v="Text"/>
    <s v="Wrapped is here! Relive your top tracks "/>
    <n v="4836"/>
    <n v="331"/>
    <n v="140"/>
    <n v="58792"/>
    <n v="47711"/>
    <n v="227"/>
    <s v="#SoundtrackOfLife"/>
    <s v="#NowPlaying"/>
    <n v="9.0267383317458164E-2"/>
  </r>
  <r>
    <s v="SP067"/>
    <x v="2"/>
    <d v="2024-04-02T00:00:00"/>
    <s v="Reel"/>
    <s v="Your weekend playlist is waiting."/>
    <n v="4563"/>
    <n v="488"/>
    <n v="356"/>
    <n v="30619"/>
    <n v="23328"/>
    <n v="267"/>
    <s v="#DiscoverWeekly"/>
    <s v="#SoundtrackOfLife"/>
    <n v="0.17658969920637513"/>
  </r>
  <r>
    <s v="SP068"/>
    <x v="1"/>
    <d v="2024-03-28T00:00:00"/>
    <s v="Text"/>
    <s v="Music that moves you-only on Spotify."/>
    <n v="3276"/>
    <n v="421"/>
    <n v="114"/>
    <n v="20580"/>
    <n v="30324"/>
    <n v="221"/>
    <s v="#SoundtrackOfLife"/>
    <m/>
    <n v="0.18517978620019437"/>
  </r>
  <r>
    <s v="SP069"/>
    <x v="1"/>
    <d v="2024-12-17T00:00:00"/>
    <s v="Story"/>
    <s v="Music that moves you-only on Spotify."/>
    <n v="1316"/>
    <n v="472"/>
    <n v="286"/>
    <n v="44692"/>
    <n v="53343"/>
    <n v="227"/>
    <s v="#DiscoverWeekly"/>
    <s v="#MusicForEveryone"/>
    <n v="4.6406515707509172E-2"/>
  </r>
  <r>
    <s v="SP070"/>
    <x v="1"/>
    <d v="2025-01-05T00:00:00"/>
    <s v="Text"/>
    <s v="Wrapped is here! Relive your top tracks "/>
    <n v="4811"/>
    <n v="473"/>
    <n v="254"/>
    <n v="51964"/>
    <n v="68795"/>
    <n v="107"/>
    <s v="#NowPlaying"/>
    <m/>
    <n v="0.10657378184897237"/>
  </r>
  <r>
    <s v="SP071"/>
    <x v="1"/>
    <d v="2024-01-11T00:00:00"/>
    <s v="Text"/>
    <s v="What's your vibe today? #SpotifyHits"/>
    <n v="4218"/>
    <n v="247"/>
    <n v="183"/>
    <n v="28914"/>
    <n v="18310"/>
    <n v="135"/>
    <s v="#SoundtrackOfLife"/>
    <m/>
    <n v="0.1607525766064882"/>
  </r>
  <r>
    <s v="SP072"/>
    <x v="0"/>
    <d v="2024-10-11T00:00:00"/>
    <s v="Text"/>
    <s v="From pop to podcasts, it's all here."/>
    <n v="1360"/>
    <n v="249"/>
    <n v="52"/>
    <n v="20368"/>
    <n v="42152"/>
    <n v="193"/>
    <s v="#DiscoverWeekly"/>
    <m/>
    <n v="8.1549489395129612E-2"/>
  </r>
  <r>
    <s v="SP073"/>
    <x v="2"/>
    <d v="2025-05-06T00:00:00"/>
    <s v="Reel"/>
    <s v="Discover fresh beats on Spotify!"/>
    <n v="1085"/>
    <n v="496"/>
    <n v="320"/>
    <n v="36528"/>
    <n v="38599"/>
    <n v="270"/>
    <s v="#DiscoverWeekly"/>
    <s v="#SoundtrackOfLife"/>
    <n v="5.2042268944371438E-2"/>
  </r>
  <r>
    <s v="SP074"/>
    <x v="1"/>
    <d v="2024-05-19T00:00:00"/>
    <s v="Story"/>
    <s v="Get into the groove with our new drop!"/>
    <n v="1763"/>
    <n v="206"/>
    <n v="187"/>
    <n v="53342"/>
    <n v="25095"/>
    <n v="88"/>
    <s v="#DiscoverWeekly"/>
    <s v="#MusicForEveryone"/>
    <n v="4.0418432004799221E-2"/>
  </r>
  <r>
    <s v="SP075"/>
    <x v="1"/>
    <d v="2024-01-22T00:00:00"/>
    <s v="Story"/>
    <s v="From pop to podcasts, it's all here."/>
    <n v="1554"/>
    <n v="455"/>
    <n v="158"/>
    <n v="41947"/>
    <n v="48578"/>
    <n v="101"/>
    <s v="#SoundtrackOfLife"/>
    <s v="#NowPlaying"/>
    <n v="5.1660428636136076E-2"/>
  </r>
  <r>
    <s v="SP076"/>
    <x v="0"/>
    <d v="2024-07-14T00:00:00"/>
    <s v="Text"/>
    <s v="Wrapped is here! Relive your top tracks "/>
    <n v="2464"/>
    <n v="401"/>
    <n v="78"/>
    <n v="38665"/>
    <n v="73593"/>
    <n v="207"/>
    <s v="#DiscoverWeekly"/>
    <m/>
    <n v="7.611534979956032E-2"/>
  </r>
  <r>
    <s v="SP077"/>
    <x v="1"/>
    <d v="2025-05-28T00:00:00"/>
    <s v="Text"/>
    <s v="From pop to podcasts, it's all here."/>
    <n v="2418"/>
    <n v="161"/>
    <n v="360"/>
    <n v="30589"/>
    <n v="41383"/>
    <n v="88"/>
    <s v="#NowPlaying"/>
    <m/>
    <n v="9.6080290300434801E-2"/>
  </r>
  <r>
    <s v="SP078"/>
    <x v="1"/>
    <d v="2025-01-21T00:00:00"/>
    <s v="Story"/>
    <s v="Discover fresh beats on Spotify!"/>
    <n v="2494"/>
    <n v="494"/>
    <n v="55"/>
    <n v="22580"/>
    <n v="22214"/>
    <n v="109"/>
    <s v="#MusicForEveryone"/>
    <s v="#NowPlaying"/>
    <n v="0.13476527900797167"/>
  </r>
  <r>
    <s v="SP079"/>
    <x v="2"/>
    <d v="2024-01-13T00:00:00"/>
    <s v="Reel"/>
    <s v="New music just dropped. Hit play!"/>
    <n v="4781"/>
    <n v="191"/>
    <n v="122"/>
    <n v="35535"/>
    <n v="50777"/>
    <n v="128"/>
    <s v="#DiscoverWeekly"/>
    <s v="#SoundtrackOfLife"/>
    <n v="0.14335162515829464"/>
  </r>
  <r>
    <s v="SP080"/>
    <x v="0"/>
    <d v="2025-06-17T00:00:00"/>
    <s v="Text"/>
    <s v="Music that moves you-only on Spotify."/>
    <n v="2284"/>
    <n v="187"/>
    <n v="260"/>
    <n v="37400"/>
    <n v="65014"/>
    <n v="157"/>
    <s v="#SoundtrackOfLife"/>
    <s v="#NowPlaying"/>
    <n v="7.3021390374331557E-2"/>
  </r>
  <r>
    <s v="SP081"/>
    <x v="1"/>
    <d v="2025-03-07T00:00:00"/>
    <s v="Text"/>
    <s v="Get into the groove with our new drop!"/>
    <n v="4234"/>
    <n v="486"/>
    <n v="276"/>
    <n v="56623"/>
    <n v="41343"/>
    <n v="184"/>
    <s v="#SoundtrackOfLife"/>
    <m/>
    <n v="8.8232696960599044E-2"/>
  </r>
  <r>
    <s v="SP082"/>
    <x v="0"/>
    <d v="2024-08-26T00:00:00"/>
    <s v="Text"/>
    <s v="Your weekend playlist is waiting."/>
    <n v="2102"/>
    <n v="181"/>
    <n v="306"/>
    <n v="43650"/>
    <n v="50079"/>
    <n v="182"/>
    <s v="#DiscoverWeekly"/>
    <m/>
    <n v="5.9312714776632303E-2"/>
  </r>
  <r>
    <s v="SP083"/>
    <x v="1"/>
    <d v="2025-01-03T00:00:00"/>
    <s v="Story"/>
    <s v="Get into the groove with our new drop!"/>
    <n v="4845"/>
    <n v="158"/>
    <n v="84"/>
    <n v="34578"/>
    <n v="51480"/>
    <n v="180"/>
    <s v="#SoundtrackOfLife"/>
    <s v="#NowPlaying"/>
    <n v="0.1471166637746544"/>
  </r>
  <r>
    <s v="SP084"/>
    <x v="1"/>
    <d v="2024-08-03T00:00:00"/>
    <s v="Text"/>
    <s v="Your weekend playlist is waiting."/>
    <n v="4247"/>
    <n v="390"/>
    <n v="213"/>
    <n v="29785"/>
    <n v="57768"/>
    <n v="122"/>
    <s v="#NowPlaying"/>
    <m/>
    <n v="0.16283364109451065"/>
  </r>
  <r>
    <s v="SP085"/>
    <x v="0"/>
    <d v="2024-08-18T00:00:00"/>
    <s v="Text"/>
    <s v="Explore the latest podcasts now."/>
    <n v="2965"/>
    <n v="328"/>
    <n v="171"/>
    <n v="57685"/>
    <n v="67536"/>
    <n v="264"/>
    <s v="#SoundtrackOfLife"/>
    <s v="#NowPlaying"/>
    <n v="6.0050273034584378E-2"/>
  </r>
  <r>
    <s v="SP086"/>
    <x v="1"/>
    <d v="2025-05-14T00:00:00"/>
    <s v="Story"/>
    <s v="Wrapped is here! Relive your top tracks "/>
    <n v="1371"/>
    <n v="139"/>
    <n v="96"/>
    <n v="36140"/>
    <n v="39395"/>
    <n v="169"/>
    <s v="#SoundtrackOfLife"/>
    <s v="#NowPlaying"/>
    <n v="4.4438295517432211E-2"/>
  </r>
  <r>
    <s v="SP087"/>
    <x v="1"/>
    <d v="2024-04-23T00:00:00"/>
    <s v="Story"/>
    <s v="Discover fresh beats on Spotify!"/>
    <n v="2683"/>
    <n v="496"/>
    <n v="89"/>
    <n v="53435"/>
    <n v="30334"/>
    <n v="160"/>
    <s v="#SoundtrackOfLife"/>
    <s v="#NowPlaying"/>
    <n v="6.1158416768035934E-2"/>
  </r>
  <r>
    <s v="SP088"/>
    <x v="1"/>
    <d v="2025-02-17T00:00:00"/>
    <s v="Story"/>
    <s v="What's your vibe today? #SpotifyHits"/>
    <n v="4796"/>
    <n v="427"/>
    <n v="339"/>
    <n v="30752"/>
    <n v="33870"/>
    <n v="298"/>
    <s v="#SoundtrackOfLife"/>
    <s v="#NowPlaying"/>
    <n v="0.18086628511966701"/>
  </r>
  <r>
    <s v="SP089"/>
    <x v="0"/>
    <d v="2024-12-04T00:00:00"/>
    <s v="Text"/>
    <s v="Wrapped is here! Relive your top tracks "/>
    <n v="2601"/>
    <n v="336"/>
    <n v="260"/>
    <n v="32368"/>
    <n v="49028"/>
    <n v="120"/>
    <s v="#SoundtrackOfLife"/>
    <s v="#NowPlaying"/>
    <n v="9.8770390509144837E-2"/>
  </r>
  <r>
    <s v="SP090"/>
    <x v="1"/>
    <d v="2024-07-22T00:00:00"/>
    <s v="Story"/>
    <s v="Wrapped is here! Relive your top tracks "/>
    <n v="3336"/>
    <n v="229"/>
    <n v="337"/>
    <n v="22117"/>
    <n v="26205"/>
    <n v="160"/>
    <s v="#MusicForEveryone"/>
    <s v="#NowPlaying"/>
    <n v="0.17642537414658407"/>
  </r>
  <r>
    <s v="SP091"/>
    <x v="1"/>
    <d v="2025-04-27T00:00:00"/>
    <s v="Text"/>
    <s v="Explore the latest podcasts now."/>
    <n v="1165"/>
    <n v="294"/>
    <n v="163"/>
    <n v="20659"/>
    <n v="45926"/>
    <n v="111"/>
    <s v="#SoundtrackOfLife"/>
    <m/>
    <n v="7.8512996756861422E-2"/>
  </r>
  <r>
    <s v="SP092"/>
    <x v="2"/>
    <d v="2024-03-25T00:00:00"/>
    <s v="Reel"/>
    <s v="Explore the latest podcasts now."/>
    <n v="1948"/>
    <n v="155"/>
    <n v="315"/>
    <n v="30321"/>
    <n v="57121"/>
    <n v="82"/>
    <s v="#DiscoverWeekly"/>
    <s v="#SoundtrackOfLife"/>
    <n v="7.974671020085089E-2"/>
  </r>
  <r>
    <s v="SP093"/>
    <x v="0"/>
    <d v="2024-02-29T00:00:00"/>
    <s v="Text"/>
    <s v="From pop to podcasts, it's all here."/>
    <n v="1100"/>
    <n v="229"/>
    <n v="312"/>
    <n v="25641"/>
    <n v="34601"/>
    <n v="169"/>
    <s v="#DiscoverWeekly"/>
    <m/>
    <n v="6.3999063999063993E-2"/>
  </r>
  <r>
    <s v="SP094"/>
    <x v="1"/>
    <d v="2024-11-13T00:00:00"/>
    <s v="Story"/>
    <s v="Top trending tracks updated daily!"/>
    <n v="4628"/>
    <n v="257"/>
    <n v="397"/>
    <n v="36686"/>
    <n v="54683"/>
    <n v="98"/>
    <s v="#SoundtrackOfLife"/>
    <s v="#NowPlaying"/>
    <n v="0.1439786294499264"/>
  </r>
  <r>
    <s v="SP095"/>
    <x v="0"/>
    <d v="2024-03-22T00:00:00"/>
    <s v="Story"/>
    <s v="Discover fresh beats on Spotify!"/>
    <n v="2319"/>
    <n v="484"/>
    <n v="193"/>
    <n v="21202"/>
    <n v="18091"/>
    <n v="241"/>
    <s v="#NowPlaying"/>
    <m/>
    <n v="0.14130742382794076"/>
  </r>
  <r>
    <s v="SP096"/>
    <x v="1"/>
    <d v="2024-03-16T00:00:00"/>
    <s v="Story"/>
    <s v="Wrapped is here! Relive your top tracks "/>
    <n v="2895"/>
    <n v="292"/>
    <n v="90"/>
    <n v="24223"/>
    <n v="54626"/>
    <n v="114"/>
    <s v="#SoundtrackOfLife"/>
    <s v="#NowPlaying"/>
    <n v="0.13528464682326713"/>
  </r>
  <r>
    <s v="SP097"/>
    <x v="0"/>
    <d v="2024-01-26T00:00:00"/>
    <s v="Text"/>
    <s v="What's your vibe today? #SpotifyHits"/>
    <n v="3878"/>
    <n v="431"/>
    <n v="97"/>
    <n v="41763"/>
    <n v="29729"/>
    <n v="191"/>
    <s v="#DiscoverWeekly"/>
    <m/>
    <n v="0.10550008380623997"/>
  </r>
  <r>
    <s v="SP098"/>
    <x v="1"/>
    <d v="2024-03-15T00:00:00"/>
    <s v="Story"/>
    <s v="Get into the groove with our new drop!"/>
    <n v="4969"/>
    <n v="433"/>
    <n v="237"/>
    <n v="59552"/>
    <n v="23885"/>
    <n v="157"/>
    <s v="#DiscoverWeekly"/>
    <s v="#MusicForEveryone"/>
    <n v="9.4690354648038683E-2"/>
  </r>
  <r>
    <s v="SP099"/>
    <x v="1"/>
    <d v="2024-10-15T00:00:00"/>
    <s v="Text"/>
    <s v="Wrapped is here! Relive your top tracks "/>
    <n v="1984"/>
    <n v="481"/>
    <n v="356"/>
    <n v="40681"/>
    <n v="63111"/>
    <n v="258"/>
    <s v="#NowPlaying"/>
    <m/>
    <n v="6.934441139598338E-2"/>
  </r>
  <r>
    <s v="SP100"/>
    <x v="0"/>
    <d v="2024-07-21T00:00:00"/>
    <s v="Text"/>
    <s v="Discover fresh beats on Spotify!"/>
    <n v="3004"/>
    <n v="415"/>
    <n v="218"/>
    <n v="36090"/>
    <n v="37073"/>
    <n v="181"/>
    <s v="#DiscoverWeekly"/>
    <m/>
    <n v="0.10077583818232197"/>
  </r>
  <r>
    <s v="SP101"/>
    <x v="1"/>
    <d v="2024-10-12T00:00:00"/>
    <s v="Text"/>
    <s v="Get into the groove with our new drop!"/>
    <n v="3169"/>
    <n v="386"/>
    <n v="175"/>
    <n v="45012"/>
    <n v="38508"/>
    <n v="218"/>
    <s v="#NowPlaying"/>
    <m/>
    <n v="8.2866791077934779E-2"/>
  </r>
  <r>
    <s v="SP102"/>
    <x v="1"/>
    <d v="2024-10-26T00:00:00"/>
    <s v="Text"/>
    <s v="Discover fresh beats on Spotify!"/>
    <n v="3036"/>
    <n v="293"/>
    <n v="115"/>
    <n v="23776"/>
    <n v="46386"/>
    <n v="282"/>
    <s v="#NowPlaying"/>
    <m/>
    <n v="0.14485195154777927"/>
  </r>
  <r>
    <s v="SP103"/>
    <x v="0"/>
    <d v="2024-02-14T00:00:00"/>
    <s v="Text"/>
    <s v="Music that moves you-only on Spotify."/>
    <n v="1830"/>
    <n v="112"/>
    <n v="181"/>
    <n v="31870"/>
    <n v="55742"/>
    <n v="263"/>
    <s v="#SoundtrackOfLife"/>
    <s v="#NowPlaying"/>
    <n v="6.6614370881706936E-2"/>
  </r>
  <r>
    <s v="SP104"/>
    <x v="1"/>
    <d v="2024-05-01T00:00:00"/>
    <s v="Story"/>
    <s v="What's your vibe today? #SpotifyHits"/>
    <n v="2587"/>
    <n v="447"/>
    <n v="183"/>
    <n v="36266"/>
    <n v="32877"/>
    <n v="132"/>
    <s v="#DiscoverWeekly"/>
    <s v="#MusicForEveryone"/>
    <n v="8.8705674736667947E-2"/>
  </r>
  <r>
    <s v="SP105"/>
    <x v="1"/>
    <d v="2024-09-18T00:00:00"/>
    <s v="Text"/>
    <s v="Discover fresh beats on Spotify!"/>
    <n v="2878"/>
    <n v="265"/>
    <n v="91"/>
    <n v="52090"/>
    <n v="28924"/>
    <n v="133"/>
    <s v="#NowPlaying"/>
    <m/>
    <n v="6.2084853138798232E-2"/>
  </r>
  <r>
    <s v="SP106"/>
    <x v="1"/>
    <d v="2025-01-20T00:00:00"/>
    <s v="Story"/>
    <s v="New music just dropped. Hit play!"/>
    <n v="4619"/>
    <n v="272"/>
    <n v="57"/>
    <n v="21334"/>
    <n v="46292"/>
    <n v="91"/>
    <s v="#SoundtrackOfLife"/>
    <s v="#NowPlaying"/>
    <n v="0.23193025217961938"/>
  </r>
  <r>
    <s v="SP107"/>
    <x v="1"/>
    <d v="2025-01-13T00:00:00"/>
    <s v="Text"/>
    <s v="Music that moves you-only on Spotify."/>
    <n v="4090"/>
    <n v="209"/>
    <n v="278"/>
    <n v="52853"/>
    <n v="57084"/>
    <n v="102"/>
    <s v="#SoundtrackOfLife"/>
    <m/>
    <n v="8.6598679355949518E-2"/>
  </r>
  <r>
    <s v="SP108"/>
    <x v="2"/>
    <d v="2024-09-07T00:00:00"/>
    <s v="Reel"/>
    <s v="Music that moves you-only on Spotify."/>
    <n v="3882"/>
    <n v="342"/>
    <n v="374"/>
    <n v="41991"/>
    <n v="48554"/>
    <n v="118"/>
    <s v="#DiscoverWeekly"/>
    <s v="#SoundtrackOfLife"/>
    <n v="0.10949965468790931"/>
  </r>
  <r>
    <s v="SP109"/>
    <x v="0"/>
    <d v="2024-11-21T00:00:00"/>
    <s v="Text"/>
    <s v="Music that moves you-only on Spotify."/>
    <n v="4581"/>
    <n v="181"/>
    <n v="112"/>
    <n v="35221"/>
    <n v="28797"/>
    <n v="164"/>
    <s v="#SoundtrackOfLife"/>
    <s v="#NowPlaying"/>
    <n v="0.13838335084182732"/>
  </r>
  <r>
    <s v="SP110"/>
    <x v="0"/>
    <d v="2024-06-26T00:00:00"/>
    <s v="Text"/>
    <s v="New music just dropped. Hit play!"/>
    <n v="3253"/>
    <n v="483"/>
    <n v="336"/>
    <n v="25397"/>
    <n v="51485"/>
    <n v="131"/>
    <s v="#DiscoverWeekly"/>
    <m/>
    <n v="0.16033389770445328"/>
  </r>
  <r>
    <s v="SP111"/>
    <x v="2"/>
    <d v="2024-07-20T00:00:00"/>
    <s v="Reel"/>
    <s v="Music that moves you-only on Spotify."/>
    <n v="4955"/>
    <n v="299"/>
    <n v="345"/>
    <n v="33644"/>
    <n v="43547"/>
    <n v="194"/>
    <s v="#DiscoverWeekly"/>
    <s v="#SoundtrackOfLife"/>
    <n v="0.16641897515158721"/>
  </r>
  <r>
    <s v="SP112"/>
    <x v="0"/>
    <d v="2025-02-16T00:00:00"/>
    <s v="Text"/>
    <s v="Your weekend playlist is waiting."/>
    <n v="1333"/>
    <n v="286"/>
    <n v="298"/>
    <n v="36174"/>
    <n v="34517"/>
    <n v="170"/>
    <s v="#SoundtrackOfLife"/>
    <s v="#NowPlaying"/>
    <n v="5.2993862995521647E-2"/>
  </r>
  <r>
    <s v="SP113"/>
    <x v="0"/>
    <d v="2024-09-09T00:00:00"/>
    <s v="Text"/>
    <s v="New music just dropped. Hit play!"/>
    <n v="1616"/>
    <n v="360"/>
    <n v="180"/>
    <n v="54342"/>
    <n v="18796"/>
    <n v="282"/>
    <s v="#SoundtrackOfLife"/>
    <s v="#NowPlaying"/>
    <n v="3.9674653122814763E-2"/>
  </r>
  <r>
    <s v="SP114"/>
    <x v="1"/>
    <d v="2024-07-16T00:00:00"/>
    <s v="Text"/>
    <s v="Top trending tracks updated daily!"/>
    <n v="1803"/>
    <n v="273"/>
    <n v="287"/>
    <n v="46176"/>
    <n v="25488"/>
    <n v="141"/>
    <s v="#NowPlaying"/>
    <m/>
    <n v="5.1173769923769923E-2"/>
  </r>
  <r>
    <s v="SP115"/>
    <x v="0"/>
    <d v="2025-04-15T00:00:00"/>
    <s v="Text"/>
    <s v="Explore the latest podcasts now."/>
    <n v="4177"/>
    <n v="489"/>
    <n v="331"/>
    <n v="57451"/>
    <n v="73793"/>
    <n v="251"/>
    <s v="#DiscoverWeekly"/>
    <m/>
    <n v="8.6978468608031198E-2"/>
  </r>
  <r>
    <s v="SP116"/>
    <x v="0"/>
    <d v="2025-05-04T00:00:00"/>
    <s v="Story"/>
    <s v="New music just dropped. Hit play!"/>
    <n v="1311"/>
    <n v="181"/>
    <n v="361"/>
    <n v="37148"/>
    <n v="44875"/>
    <n v="245"/>
    <s v="#NowPlaying"/>
    <m/>
    <n v="4.9881554861634543E-2"/>
  </r>
  <r>
    <s v="SP117"/>
    <x v="0"/>
    <d v="2024-02-18T00:00:00"/>
    <s v="Story"/>
    <s v="From pop to podcasts, it's all here."/>
    <n v="1516"/>
    <n v="215"/>
    <n v="332"/>
    <n v="58981"/>
    <n v="36118"/>
    <n v="211"/>
    <s v="#NowPlaying"/>
    <m/>
    <n v="3.4977365592309385E-2"/>
  </r>
  <r>
    <s v="SP118"/>
    <x v="1"/>
    <d v="2024-05-16T00:00:00"/>
    <s v="Story"/>
    <s v="Music that moves you-only on Spotify."/>
    <n v="2023"/>
    <n v="124"/>
    <n v="99"/>
    <n v="54524"/>
    <n v="34790"/>
    <n v="195"/>
    <s v="#DiscoverWeekly"/>
    <s v="#MusicForEveryone"/>
    <n v="4.1192869195216787E-2"/>
  </r>
  <r>
    <s v="SP119"/>
    <x v="1"/>
    <d v="2025-05-29T00:00:00"/>
    <s v="Story"/>
    <s v="Music that moves you-only on Spotify."/>
    <n v="2134"/>
    <n v="322"/>
    <n v="114"/>
    <n v="44338"/>
    <n v="52165"/>
    <n v="176"/>
    <s v="#MusicForEveryone"/>
    <s v="#NowPlaying"/>
    <n v="5.7963823356939871E-2"/>
  </r>
  <r>
    <s v="SP120"/>
    <x v="0"/>
    <d v="2025-01-17T00:00:00"/>
    <s v="Text"/>
    <s v="Top trending tracks updated daily!"/>
    <n v="2266"/>
    <n v="126"/>
    <n v="140"/>
    <n v="53759"/>
    <n v="46834"/>
    <n v="277"/>
    <s v="#DiscoverWeekly"/>
    <m/>
    <n v="4.7099090384865788E-2"/>
  </r>
  <r>
    <s v="SP121"/>
    <x v="0"/>
    <d v="2025-04-30T00:00:00"/>
    <s v="Story"/>
    <s v="New music just dropped. Hit play!"/>
    <n v="3916"/>
    <n v="459"/>
    <n v="229"/>
    <n v="48989"/>
    <n v="39768"/>
    <n v="200"/>
    <s v="#NowPlaying"/>
    <m/>
    <n v="9.3980281287635997E-2"/>
  </r>
  <r>
    <s v="SP122"/>
    <x v="1"/>
    <d v="2024-02-24T00:00:00"/>
    <s v="Story"/>
    <s v="Music that moves you-only on Spotify."/>
    <n v="1022"/>
    <n v="463"/>
    <n v="360"/>
    <n v="51468"/>
    <n v="24279"/>
    <n v="230"/>
    <s v="#DiscoverWeekly"/>
    <s v="#MusicForEveryone"/>
    <n v="3.5847516903707161E-2"/>
  </r>
  <r>
    <s v="SP123"/>
    <x v="2"/>
    <d v="2024-05-12T00:00:00"/>
    <s v="Text"/>
    <s v="From pop to podcasts, it's all here."/>
    <n v="2911"/>
    <n v="467"/>
    <n v="94"/>
    <n v="59083"/>
    <n v="49762"/>
    <n v="236"/>
    <s v="#DiscoverWeekly"/>
    <s v="#SpotifyWrapped"/>
    <n v="5.8764788517847777E-2"/>
  </r>
  <r>
    <s v="SP124"/>
    <x v="1"/>
    <d v="2024-05-09T00:00:00"/>
    <s v="Story"/>
    <s v="New music just dropped. Hit play!"/>
    <n v="3277"/>
    <n v="423"/>
    <n v="259"/>
    <n v="46328"/>
    <n v="44293"/>
    <n v="299"/>
    <s v="#SoundtrackOfLife"/>
    <s v="#NowPlaying"/>
    <n v="8.5455879813503707E-2"/>
  </r>
  <r>
    <s v="SP125"/>
    <x v="1"/>
    <d v="2024-11-06T00:00:00"/>
    <s v="Text"/>
    <s v="From pop to podcasts, it's all here."/>
    <n v="2956"/>
    <n v="381"/>
    <n v="345"/>
    <n v="33347"/>
    <n v="22558"/>
    <n v="173"/>
    <s v="#NowPlaying"/>
    <m/>
    <n v="0.11041472996071611"/>
  </r>
  <r>
    <s v="SP126"/>
    <x v="1"/>
    <d v="2024-01-04T00:00:00"/>
    <s v="Story"/>
    <s v="What's your vibe today? #SpotifyHits"/>
    <n v="3208"/>
    <n v="476"/>
    <n v="277"/>
    <n v="56072"/>
    <n v="21061"/>
    <n v="113"/>
    <s v="#MusicForEveryone"/>
    <s v="#NowPlaying"/>
    <n v="7.064131830503638E-2"/>
  </r>
  <r>
    <s v="SP127"/>
    <x v="1"/>
    <d v="2024-01-28T00:00:00"/>
    <s v="Text"/>
    <s v="Music that moves you-only on Spotify."/>
    <n v="1456"/>
    <n v="265"/>
    <n v="137"/>
    <n v="53485"/>
    <n v="59729"/>
    <n v="145"/>
    <s v="#SoundtrackOfLife"/>
    <m/>
    <n v="3.4738711788351875E-2"/>
  </r>
  <r>
    <s v="SP128"/>
    <x v="0"/>
    <d v="2024-02-22T00:00:00"/>
    <s v="Text"/>
    <s v="New music just dropped. Hit play!"/>
    <n v="1902"/>
    <n v="394"/>
    <n v="279"/>
    <n v="24615"/>
    <n v="51330"/>
    <n v="176"/>
    <s v="#SoundtrackOfLife"/>
    <s v="#NowPlaying"/>
    <n v="0.10461100954702417"/>
  </r>
  <r>
    <s v="SP129"/>
    <x v="1"/>
    <d v="2025-07-01T00:00:00"/>
    <s v="Story"/>
    <s v="Explore the latest podcasts now."/>
    <n v="3219"/>
    <n v="424"/>
    <n v="267"/>
    <n v="48879"/>
    <n v="37691"/>
    <n v="224"/>
    <s v="#DiscoverWeekly"/>
    <s v="#MusicForEveryone"/>
    <n v="7.9993453221219743E-2"/>
  </r>
  <r>
    <s v="SP130"/>
    <x v="2"/>
    <d v="2024-01-10T00:00:00"/>
    <s v="Text"/>
    <s v="Explore the latest podcasts now."/>
    <n v="1261"/>
    <n v="190"/>
    <n v="233"/>
    <n v="59888"/>
    <n v="51449"/>
    <n v="205"/>
    <s v="#DiscoverWeekly"/>
    <s v="#SpotifyWrapped"/>
    <n v="2.811915575741384E-2"/>
  </r>
  <r>
    <s v="SP131"/>
    <x v="1"/>
    <d v="2025-03-20T00:00:00"/>
    <s v="Text"/>
    <s v="Your weekend playlist is waiting."/>
    <n v="1564"/>
    <n v="362"/>
    <n v="371"/>
    <n v="42075"/>
    <n v="66659"/>
    <n v="205"/>
    <s v="#SoundtrackOfLife"/>
    <m/>
    <n v="5.4592988710635768E-2"/>
  </r>
  <r>
    <s v="SP132"/>
    <x v="1"/>
    <d v="2024-09-28T00:00:00"/>
    <s v="Text"/>
    <s v="What's your vibe today? #SpotifyHits"/>
    <n v="4006"/>
    <n v="420"/>
    <n v="194"/>
    <n v="49964"/>
    <n v="20685"/>
    <n v="148"/>
    <s v="#NowPlaying"/>
    <m/>
    <n v="9.2466575934672959E-2"/>
  </r>
  <r>
    <s v="SP133"/>
    <x v="2"/>
    <d v="2024-01-27T00:00:00"/>
    <s v="Text"/>
    <s v="Your weekend playlist is waiting."/>
    <n v="1976"/>
    <n v="262"/>
    <n v="218"/>
    <n v="51696"/>
    <n v="44846"/>
    <n v="139"/>
    <s v="#DiscoverWeekly"/>
    <s v="#SpotifyWrapped"/>
    <n v="4.7508511296812134E-2"/>
  </r>
  <r>
    <s v="SP134"/>
    <x v="1"/>
    <d v="2025-05-15T00:00:00"/>
    <s v="Text"/>
    <s v="New music just dropped. Hit play!"/>
    <n v="1583"/>
    <n v="433"/>
    <n v="249"/>
    <n v="30256"/>
    <n v="47066"/>
    <n v="196"/>
    <s v="#NowPlaying"/>
    <m/>
    <n v="7.4861184558434685E-2"/>
  </r>
  <r>
    <s v="SP135"/>
    <x v="1"/>
    <d v="2024-10-04T00:00:00"/>
    <s v="Story"/>
    <s v="Explore the latest podcasts now."/>
    <n v="2870"/>
    <n v="380"/>
    <n v="393"/>
    <n v="37621"/>
    <n v="71794"/>
    <n v="127"/>
    <s v="#MusicForEveryone"/>
    <s v="#NowPlaying"/>
    <n v="9.6834214933149046E-2"/>
  </r>
  <r>
    <s v="SP136"/>
    <x v="1"/>
    <d v="2024-11-19T00:00:00"/>
    <s v="Text"/>
    <s v="Top trending tracks updated daily!"/>
    <n v="3728"/>
    <n v="271"/>
    <n v="275"/>
    <n v="22827"/>
    <n v="37034"/>
    <n v="199"/>
    <s v="#NowPlaying"/>
    <m/>
    <n v="0.18723441538528934"/>
  </r>
  <r>
    <s v="SP137"/>
    <x v="1"/>
    <d v="2024-04-05T00:00:00"/>
    <s v="Story"/>
    <s v="New music just dropped. Hit play!"/>
    <n v="4965"/>
    <n v="175"/>
    <n v="307"/>
    <n v="32793"/>
    <n v="43412"/>
    <n v="296"/>
    <s v="#SoundtrackOfLife"/>
    <s v="#NowPlaying"/>
    <n v="0.16610252187966945"/>
  </r>
  <r>
    <s v="SP138"/>
    <x v="1"/>
    <d v="2024-11-28T00:00:00"/>
    <s v="Story"/>
    <s v="New music just dropped. Hit play!"/>
    <n v="1131"/>
    <n v="100"/>
    <n v="116"/>
    <n v="48437"/>
    <n v="72704"/>
    <n v="236"/>
    <s v="#DiscoverWeekly"/>
    <s v="#MusicForEveryone"/>
    <n v="2.7809319322005904E-2"/>
  </r>
  <r>
    <s v="SP139"/>
    <x v="1"/>
    <d v="2025-03-09T00:00:00"/>
    <s v="Text"/>
    <s v="Your weekend playlist is waiting."/>
    <n v="2754"/>
    <n v="215"/>
    <n v="264"/>
    <n v="27762"/>
    <n v="70203"/>
    <n v="289"/>
    <s v="#NowPlaying"/>
    <m/>
    <n v="0.11645414595490239"/>
  </r>
  <r>
    <s v="SP140"/>
    <x v="1"/>
    <d v="2024-08-27T00:00:00"/>
    <s v="Story"/>
    <s v="New music just dropped. Hit play!"/>
    <n v="1856"/>
    <n v="357"/>
    <n v="348"/>
    <n v="29428"/>
    <n v="70206"/>
    <n v="236"/>
    <s v="#MusicForEveryone"/>
    <s v="#NowPlaying"/>
    <n v="8.702596166915863E-2"/>
  </r>
  <r>
    <s v="SP141"/>
    <x v="2"/>
    <d v="2024-10-01T00:00:00"/>
    <s v="Reel"/>
    <s v="Explore the latest podcasts now."/>
    <n v="3543"/>
    <n v="334"/>
    <n v="218"/>
    <n v="58007"/>
    <n v="24792"/>
    <n v="273"/>
    <s v="#DiscoverWeekly"/>
    <s v="#SoundtrackOfLife"/>
    <n v="7.0594928198320889E-2"/>
  </r>
  <r>
    <s v="SP142"/>
    <x v="0"/>
    <d v="2024-12-21T00:00:00"/>
    <s v="Story"/>
    <s v="New music just dropped. Hit play!"/>
    <n v="4563"/>
    <n v="398"/>
    <n v="163"/>
    <n v="43679"/>
    <n v="48760"/>
    <n v="92"/>
    <s v="#NowPlaying"/>
    <m/>
    <n v="0.11731037798484398"/>
  </r>
  <r>
    <s v="SP143"/>
    <x v="0"/>
    <d v="2024-06-17T00:00:00"/>
    <s v="Text"/>
    <s v="Discover fresh beats on Spotify!"/>
    <n v="4283"/>
    <n v="471"/>
    <n v="156"/>
    <n v="53004"/>
    <n v="25678"/>
    <n v="105"/>
    <s v="#DiscoverWeekly"/>
    <m/>
    <n v="9.2634518149573616E-2"/>
  </r>
  <r>
    <s v="SP144"/>
    <x v="0"/>
    <d v="2025-02-14T00:00:00"/>
    <s v="Text"/>
    <s v="Discover fresh beats on Spotify!"/>
    <n v="2329"/>
    <n v="373"/>
    <n v="291"/>
    <n v="49577"/>
    <n v="28002"/>
    <n v="82"/>
    <s v="#SoundtrackOfLife"/>
    <s v="#NowPlaying"/>
    <n v="6.0370736430199488E-2"/>
  </r>
  <r>
    <s v="SP145"/>
    <x v="1"/>
    <d v="2025-05-28T00:00:00"/>
    <s v="Story"/>
    <s v="Top trending tracks updated daily!"/>
    <n v="4287"/>
    <n v="273"/>
    <n v="122"/>
    <n v="40792"/>
    <n v="23878"/>
    <n v="277"/>
    <s v="#MusicForEveryone"/>
    <s v="#NowPlaying"/>
    <n v="0.11477740733477153"/>
  </r>
  <r>
    <s v="SP146"/>
    <x v="0"/>
    <d v="2025-05-22T00:00:00"/>
    <s v="Text"/>
    <s v="Discover fresh beats on Spotify!"/>
    <n v="2633"/>
    <n v="318"/>
    <n v="380"/>
    <n v="40869"/>
    <n v="64474"/>
    <n v="245"/>
    <s v="#DiscoverWeekly"/>
    <m/>
    <n v="8.1504318676747664E-2"/>
  </r>
  <r>
    <s v="SP147"/>
    <x v="1"/>
    <d v="2024-01-21T00:00:00"/>
    <s v="Story"/>
    <s v="Discover fresh beats on Spotify!"/>
    <n v="2383"/>
    <n v="136"/>
    <n v="302"/>
    <n v="39187"/>
    <n v="22133"/>
    <n v="208"/>
    <s v="#MusicForEveryone"/>
    <s v="#NowPlaying"/>
    <n v="7.1988159338556151E-2"/>
  </r>
  <r>
    <s v="SP148"/>
    <x v="1"/>
    <d v="2025-02-08T00:00:00"/>
    <s v="Story"/>
    <s v="Your weekend playlist is waiting."/>
    <n v="4752"/>
    <n v="334"/>
    <n v="56"/>
    <n v="48017"/>
    <n v="55534"/>
    <n v="270"/>
    <s v="#DiscoverWeekly"/>
    <s v="#MusicForEveryone"/>
    <n v="0.10708707332819627"/>
  </r>
  <r>
    <s v="SP149"/>
    <x v="1"/>
    <d v="2025-04-13T00:00:00"/>
    <s v="Text"/>
    <s v="From pop to podcasts, it's all here."/>
    <n v="3890"/>
    <n v="408"/>
    <n v="338"/>
    <n v="56994"/>
    <n v="32621"/>
    <n v="286"/>
    <s v="#SoundtrackOfLife"/>
    <m/>
    <n v="8.1341895638137346E-2"/>
  </r>
  <r>
    <s v="SP150"/>
    <x v="1"/>
    <d v="2024-05-30T00:00:00"/>
    <s v="Story"/>
    <s v="Your weekend playlist is waiting."/>
    <n v="2311"/>
    <n v="207"/>
    <n v="363"/>
    <n v="30349"/>
    <n v="32925"/>
    <n v="88"/>
    <s v="#MusicForEveryone"/>
    <s v="#NowPlaying"/>
    <n v="9.4928992718046723E-2"/>
  </r>
  <r>
    <s v="SP151"/>
    <x v="0"/>
    <d v="2024-08-12T00:00:00"/>
    <s v="Story"/>
    <s v="Discover fresh beats on Spotify!"/>
    <n v="2962"/>
    <n v="400"/>
    <n v="280"/>
    <n v="52508"/>
    <n v="58329"/>
    <n v="219"/>
    <s v="#NowPlaying"/>
    <m/>
    <n v="6.9360859297630834E-2"/>
  </r>
  <r>
    <s v="SP152"/>
    <x v="0"/>
    <d v="2024-09-27T00:00:00"/>
    <s v="Text"/>
    <s v="Discover fresh beats on Spotify!"/>
    <n v="3118"/>
    <n v="116"/>
    <n v="195"/>
    <n v="37100"/>
    <n v="62629"/>
    <n v="272"/>
    <s v="#DiscoverWeekly"/>
    <m/>
    <n v="9.2425876010781671E-2"/>
  </r>
  <r>
    <s v="SP153"/>
    <x v="1"/>
    <d v="2025-06-11T00:00:00"/>
    <s v="Story"/>
    <s v="Explore the latest podcasts now."/>
    <n v="3805"/>
    <n v="453"/>
    <n v="63"/>
    <n v="52395"/>
    <n v="72934"/>
    <n v="87"/>
    <s v="#DiscoverWeekly"/>
    <s v="#MusicForEveryone"/>
    <n v="8.2469701307376658E-2"/>
  </r>
  <r>
    <s v="SP154"/>
    <x v="0"/>
    <d v="2024-11-19T00:00:00"/>
    <s v="Text"/>
    <s v="What's your vibe today? #SpotifyHits"/>
    <n v="2525"/>
    <n v="272"/>
    <n v="294"/>
    <n v="51875"/>
    <n v="24732"/>
    <n v="92"/>
    <s v="#DiscoverWeekly"/>
    <m/>
    <n v="5.9585542168674697E-2"/>
  </r>
  <r>
    <s v="SP155"/>
    <x v="0"/>
    <d v="2024-04-25T00:00:00"/>
    <s v="Text"/>
    <s v="Music that moves you-only on Spotify."/>
    <n v="3563"/>
    <n v="483"/>
    <n v="227"/>
    <n v="41085"/>
    <n v="26393"/>
    <n v="236"/>
    <s v="#SoundtrackOfLife"/>
    <s v="#NowPlaying"/>
    <n v="0.10400389436534015"/>
  </r>
  <r>
    <s v="SP156"/>
    <x v="2"/>
    <d v="2024-09-03T00:00:00"/>
    <s v="Reel"/>
    <s v="What's your vibe today? #SpotifyHits"/>
    <n v="1437"/>
    <n v="494"/>
    <n v="129"/>
    <n v="53048"/>
    <n v="44090"/>
    <n v="230"/>
    <s v="#DiscoverWeekly"/>
    <s v="#SoundtrackOfLife"/>
    <n v="3.8832755240536872E-2"/>
  </r>
  <r>
    <s v="SP157"/>
    <x v="2"/>
    <d v="2025-03-02T00:00:00"/>
    <s v="Text"/>
    <s v="From pop to podcasts, it's all here."/>
    <n v="4425"/>
    <n v="185"/>
    <n v="162"/>
    <n v="24610"/>
    <n v="21342"/>
    <n v="158"/>
    <s v="#DiscoverWeekly"/>
    <s v="#SpotifyWrapped"/>
    <n v="0.19390491670052823"/>
  </r>
  <r>
    <s v="SP158"/>
    <x v="1"/>
    <d v="2025-03-21T00:00:00"/>
    <s v="Story"/>
    <s v="New music just dropped. Hit play!"/>
    <n v="4609"/>
    <n v="427"/>
    <n v="395"/>
    <n v="33698"/>
    <n v="29259"/>
    <n v="216"/>
    <s v="#DiscoverWeekly"/>
    <s v="#MusicForEveryone"/>
    <n v="0.16116683482699271"/>
  </r>
  <r>
    <s v="SP159"/>
    <x v="0"/>
    <d v="2024-04-12T00:00:00"/>
    <s v="Story"/>
    <s v="Get into the groove with our new drop!"/>
    <n v="1558"/>
    <n v="352"/>
    <n v="202"/>
    <n v="25405"/>
    <n v="69941"/>
    <n v="219"/>
    <s v="#NowPlaying"/>
    <m/>
    <n v="8.3133241487896081E-2"/>
  </r>
  <r>
    <s v="SP160"/>
    <x v="2"/>
    <d v="2024-02-08T00:00:00"/>
    <s v="Reel"/>
    <s v="Top trending tracks updated daily!"/>
    <n v="1889"/>
    <n v="298"/>
    <n v="122"/>
    <n v="46225"/>
    <n v="74305"/>
    <n v="293"/>
    <s v="#DiscoverWeekly"/>
    <s v="#SoundtrackOfLife"/>
    <n v="4.9951325040562468E-2"/>
  </r>
  <r>
    <s v="SP161"/>
    <x v="0"/>
    <d v="2025-05-26T00:00:00"/>
    <s v="Text"/>
    <s v="Discover fresh beats on Spotify!"/>
    <n v="3086"/>
    <n v="148"/>
    <n v="310"/>
    <n v="22824"/>
    <n v="58103"/>
    <n v="275"/>
    <s v="#DiscoverWeekly"/>
    <m/>
    <n v="0.1552751489660007"/>
  </r>
  <r>
    <s v="SP162"/>
    <x v="0"/>
    <d v="2024-11-14T00:00:00"/>
    <s v="Text"/>
    <s v="Music that moves you-only on Spotify."/>
    <n v="2422"/>
    <n v="318"/>
    <n v="118"/>
    <n v="25386"/>
    <n v="20873"/>
    <n v="100"/>
    <s v="#SoundtrackOfLife"/>
    <s v="#NowPlaying"/>
    <n v="0.11258173796580792"/>
  </r>
  <r>
    <s v="SP163"/>
    <x v="2"/>
    <d v="2024-08-09T00:00:00"/>
    <s v="Reel"/>
    <s v="From pop to podcasts, it's all here."/>
    <n v="3414"/>
    <n v="154"/>
    <n v="204"/>
    <n v="34146"/>
    <n v="44633"/>
    <n v="256"/>
    <s v="#DiscoverWeekly"/>
    <s v="#SoundtrackOfLife"/>
    <n v="0.11046681895390383"/>
  </r>
  <r>
    <s v="SP164"/>
    <x v="0"/>
    <d v="2025-06-27T00:00:00"/>
    <s v="Story"/>
    <s v="What's your vibe today? #SpotifyHits"/>
    <n v="1342"/>
    <n v="332"/>
    <n v="163"/>
    <n v="51712"/>
    <n v="57922"/>
    <n v="168"/>
    <s v="#NowPlaying"/>
    <m/>
    <n v="3.5523669554455448E-2"/>
  </r>
  <r>
    <s v="SP165"/>
    <x v="0"/>
    <d v="2024-05-08T00:00:00"/>
    <s v="Story"/>
    <s v="Music that moves you-only on Spotify."/>
    <n v="2414"/>
    <n v="220"/>
    <n v="280"/>
    <n v="27355"/>
    <n v="50562"/>
    <n v="258"/>
    <s v="#NowPlaying"/>
    <m/>
    <n v="0.10652531529884847"/>
  </r>
  <r>
    <s v="SP166"/>
    <x v="0"/>
    <d v="2024-04-05T00:00:00"/>
    <s v="Text"/>
    <s v="New music just dropped. Hit play!"/>
    <n v="4383"/>
    <n v="352"/>
    <n v="176"/>
    <n v="53239"/>
    <n v="34168"/>
    <n v="288"/>
    <s v="#DiscoverWeekly"/>
    <m/>
    <n v="9.2244407295403744E-2"/>
  </r>
  <r>
    <s v="SP167"/>
    <x v="2"/>
    <d v="2025-01-27T00:00:00"/>
    <s v="Text"/>
    <s v="Wrapped is here! Relive your top tracks "/>
    <n v="4294"/>
    <n v="423"/>
    <n v="93"/>
    <n v="29828"/>
    <n v="73144"/>
    <n v="298"/>
    <s v="#DiscoverWeekly"/>
    <s v="#SpotifyWrapped"/>
    <n v="0.1612578785034196"/>
  </r>
  <r>
    <s v="SP168"/>
    <x v="0"/>
    <d v="2024-04-03T00:00:00"/>
    <s v="Text"/>
    <s v="Top trending tracks updated daily!"/>
    <n v="2762"/>
    <n v="339"/>
    <n v="323"/>
    <n v="33757"/>
    <n v="68511"/>
    <n v="121"/>
    <s v="#SoundtrackOfLife"/>
    <s v="#NowPlaying"/>
    <n v="0.10143081434961637"/>
  </r>
  <r>
    <s v="SP169"/>
    <x v="2"/>
    <d v="2025-01-03T00:00:00"/>
    <s v="Text"/>
    <s v="New music just dropped. Hit play!"/>
    <n v="3782"/>
    <n v="484"/>
    <n v="144"/>
    <n v="52172"/>
    <n v="59386"/>
    <n v="175"/>
    <s v="#DiscoverWeekly"/>
    <s v="#SpotifyWrapped"/>
    <n v="8.4528099363643333E-2"/>
  </r>
  <r>
    <s v="SP170"/>
    <x v="1"/>
    <d v="2024-11-23T00:00:00"/>
    <s v="Text"/>
    <s v="New music just dropped. Hit play!"/>
    <n v="4318"/>
    <n v="371"/>
    <n v="329"/>
    <n v="32347"/>
    <n v="68956"/>
    <n v="259"/>
    <s v="#SoundtrackOfLife"/>
    <m/>
    <n v="0.15513030574705536"/>
  </r>
  <r>
    <s v="SP171"/>
    <x v="0"/>
    <d v="2024-09-01T00:00:00"/>
    <s v="Story"/>
    <s v="Wrapped is here! Relive your top tracks "/>
    <n v="2335"/>
    <n v="150"/>
    <n v="75"/>
    <n v="26114"/>
    <n v="57549"/>
    <n v="135"/>
    <s v="#NowPlaying"/>
    <m/>
    <n v="9.8031707130274953E-2"/>
  </r>
  <r>
    <s v="SP172"/>
    <x v="2"/>
    <d v="2024-04-18T00:00:00"/>
    <s v="Text"/>
    <s v="Explore the latest podcasts now."/>
    <n v="4023"/>
    <n v="293"/>
    <n v="91"/>
    <n v="26795"/>
    <n v="28924"/>
    <n v="278"/>
    <s v="#DiscoverWeekly"/>
    <s v="#SpotifyWrapped"/>
    <n v="0.16447098339242397"/>
  </r>
  <r>
    <s v="SP173"/>
    <x v="0"/>
    <d v="2024-06-04T00:00:00"/>
    <s v="Text"/>
    <s v="Get into the groove with our new drop!"/>
    <n v="3948"/>
    <n v="151"/>
    <n v="249"/>
    <n v="43147"/>
    <n v="63136"/>
    <n v="230"/>
    <s v="#DiscoverWeekly"/>
    <m/>
    <n v="0.10077178019329269"/>
  </r>
  <r>
    <s v="SP174"/>
    <x v="2"/>
    <d v="2025-04-02T00:00:00"/>
    <s v="Text"/>
    <s v="Wrapped is here! Relive your top tracks "/>
    <n v="4598"/>
    <n v="455"/>
    <n v="378"/>
    <n v="52952"/>
    <n v="58504"/>
    <n v="269"/>
    <s v="#DiscoverWeekly"/>
    <s v="#SpotifyWrapped"/>
    <n v="0.10256458679558846"/>
  </r>
  <r>
    <s v="SP175"/>
    <x v="1"/>
    <d v="2025-04-01T00:00:00"/>
    <s v="Story"/>
    <s v="Music that moves you-only on Spotify."/>
    <n v="2665"/>
    <n v="143"/>
    <n v="315"/>
    <n v="54808"/>
    <n v="29818"/>
    <n v="98"/>
    <s v="#DiscoverWeekly"/>
    <s v="#MusicForEveryone"/>
    <n v="5.6980732739746021E-2"/>
  </r>
  <r>
    <s v="SP176"/>
    <x v="0"/>
    <d v="2024-07-02T00:00:00"/>
    <s v="Text"/>
    <s v="Top trending tracks updated daily!"/>
    <n v="3469"/>
    <n v="371"/>
    <n v="76"/>
    <n v="46493"/>
    <n v="26906"/>
    <n v="150"/>
    <s v="#SoundtrackOfLife"/>
    <s v="#NowPlaying"/>
    <n v="8.4227733207149463E-2"/>
  </r>
  <r>
    <s v="SP177"/>
    <x v="1"/>
    <d v="2024-11-10T00:00:00"/>
    <s v="Text"/>
    <s v="Explore the latest podcasts now."/>
    <n v="4823"/>
    <n v="489"/>
    <n v="302"/>
    <n v="32470"/>
    <n v="31861"/>
    <n v="178"/>
    <s v="#SoundtrackOfLife"/>
    <m/>
    <n v="0.1728980597474592"/>
  </r>
  <r>
    <s v="SP178"/>
    <x v="0"/>
    <d v="2024-12-14T00:00:00"/>
    <s v="Story"/>
    <s v="From pop to podcasts, it's all here."/>
    <n v="3812"/>
    <n v="321"/>
    <n v="289"/>
    <n v="59838"/>
    <n v="36337"/>
    <n v="161"/>
    <s v="#NowPlaying"/>
    <m/>
    <n v="7.3899528727564417E-2"/>
  </r>
  <r>
    <s v="SP179"/>
    <x v="1"/>
    <d v="2024-11-19T00:00:00"/>
    <s v="Text"/>
    <s v="Explore the latest podcasts now."/>
    <n v="2387"/>
    <n v="353"/>
    <n v="78"/>
    <n v="39745"/>
    <n v="69226"/>
    <n v="208"/>
    <s v="#SoundtrackOfLife"/>
    <m/>
    <n v="7.090200025160398E-2"/>
  </r>
  <r>
    <s v="SP180"/>
    <x v="1"/>
    <d v="2025-04-30T00:00:00"/>
    <s v="Story"/>
    <s v="Wrapped is here! Relive your top tracks "/>
    <n v="3929"/>
    <n v="275"/>
    <n v="330"/>
    <n v="58329"/>
    <n v="33196"/>
    <n v="85"/>
    <s v="#MusicForEveryone"/>
    <s v="#NowPlaying"/>
    <n v="7.7731488624869283E-2"/>
  </r>
  <r>
    <s v="SP181"/>
    <x v="1"/>
    <d v="2024-03-19T00:00:00"/>
    <s v="Text"/>
    <s v="From pop to podcasts, it's all here."/>
    <n v="2191"/>
    <n v="288"/>
    <n v="83"/>
    <n v="59606"/>
    <n v="24765"/>
    <n v="281"/>
    <s v="#SoundtrackOfLife"/>
    <m/>
    <n v="4.2982250109049422E-2"/>
  </r>
  <r>
    <s v="SP182"/>
    <x v="0"/>
    <d v="2024-03-19T00:00:00"/>
    <s v="Text"/>
    <s v="From pop to podcasts, it's all here."/>
    <n v="2878"/>
    <n v="278"/>
    <n v="255"/>
    <n v="47235"/>
    <n v="57922"/>
    <n v="112"/>
    <s v="#SoundtrackOfLife"/>
    <s v="#NowPlaying"/>
    <n v="7.2213401079707848E-2"/>
  </r>
  <r>
    <s v="SP183"/>
    <x v="1"/>
    <d v="2024-07-23T00:00:00"/>
    <s v="Text"/>
    <s v="Top trending tracks updated daily!"/>
    <n v="3204"/>
    <n v="398"/>
    <n v="85"/>
    <n v="22020"/>
    <n v="58353"/>
    <n v="286"/>
    <s v="#SoundtrackOfLife"/>
    <m/>
    <n v="0.16743869209809265"/>
  </r>
  <r>
    <s v="SP184"/>
    <x v="1"/>
    <d v="2024-07-13T00:00:00"/>
    <s v="Story"/>
    <s v="Get into the groove with our new drop!"/>
    <n v="2408"/>
    <n v="323"/>
    <n v="251"/>
    <n v="47599"/>
    <n v="35543"/>
    <n v="287"/>
    <s v="#MusicForEveryone"/>
    <s v="#NowPlaying"/>
    <n v="6.2648374965860634E-2"/>
  </r>
  <r>
    <s v="SP185"/>
    <x v="2"/>
    <d v="2025-04-22T00:00:00"/>
    <s v="Reel"/>
    <s v="New music just dropped. Hit play!"/>
    <n v="2733"/>
    <n v="297"/>
    <n v="235"/>
    <n v="37980"/>
    <n v="33058"/>
    <n v="219"/>
    <s v="#DiscoverWeekly"/>
    <s v="#SoundtrackOfLife"/>
    <n v="8.5966298051606105E-2"/>
  </r>
  <r>
    <s v="SP186"/>
    <x v="1"/>
    <d v="2024-06-16T00:00:00"/>
    <s v="Story"/>
    <s v="Explore the latest podcasts now."/>
    <n v="4618"/>
    <n v="312"/>
    <n v="254"/>
    <n v="22571"/>
    <n v="29453"/>
    <n v="197"/>
    <s v="#MusicForEveryone"/>
    <s v="#NowPlaying"/>
    <n v="0.22967524699836073"/>
  </r>
  <r>
    <s v="SP187"/>
    <x v="2"/>
    <d v="2025-05-18T00:00:00"/>
    <s v="Reel"/>
    <s v="Wrapped is here! Relive your top tracks "/>
    <n v="4210"/>
    <n v="319"/>
    <n v="350"/>
    <n v="37762"/>
    <n v="55162"/>
    <n v="204"/>
    <s v="#DiscoverWeekly"/>
    <s v="#SoundtrackOfLife"/>
    <n v="0.12920396165457337"/>
  </r>
  <r>
    <s v="SP188"/>
    <x v="0"/>
    <d v="2025-06-06T00:00:00"/>
    <s v="Text"/>
    <s v="Wrapped is here! Relive your top tracks "/>
    <n v="3987"/>
    <n v="171"/>
    <n v="274"/>
    <n v="45122"/>
    <n v="65431"/>
    <n v="168"/>
    <s v="#DiscoverWeekly"/>
    <m/>
    <n v="9.8222596516111871E-2"/>
  </r>
  <r>
    <s v="SP189"/>
    <x v="2"/>
    <d v="2025-02-20T00:00:00"/>
    <s v="Reel"/>
    <s v="Get into the groove with our new drop!"/>
    <n v="4957"/>
    <n v="262"/>
    <n v="365"/>
    <n v="49199"/>
    <n v="40314"/>
    <n v="216"/>
    <s v="#DiscoverWeekly"/>
    <s v="#SoundtrackOfLife"/>
    <n v="0.11349824183418362"/>
  </r>
  <r>
    <s v="SP190"/>
    <x v="0"/>
    <d v="2025-01-16T00:00:00"/>
    <s v="Text"/>
    <s v="Music that moves you-only on Spotify."/>
    <n v="2605"/>
    <n v="282"/>
    <n v="148"/>
    <n v="32201"/>
    <n v="49583"/>
    <n v="241"/>
    <s v="#SoundtrackOfLife"/>
    <s v="#NowPlaying"/>
    <n v="9.4251731312692155E-2"/>
  </r>
  <r>
    <s v="SP191"/>
    <x v="2"/>
    <d v="2024-02-24T00:00:00"/>
    <s v="Reel"/>
    <s v="Discover fresh beats on Spotify!"/>
    <n v="4221"/>
    <n v="307"/>
    <n v="58"/>
    <n v="45080"/>
    <n v="37214"/>
    <n v="240"/>
    <s v="#DiscoverWeekly"/>
    <s v="#SoundtrackOfLife"/>
    <n v="0.10173025732031943"/>
  </r>
  <r>
    <s v="SP192"/>
    <x v="1"/>
    <d v="2024-09-16T00:00:00"/>
    <s v="Story"/>
    <s v="What's your vibe today? #SpotifyHits"/>
    <n v="4422"/>
    <n v="434"/>
    <n v="156"/>
    <n v="56165"/>
    <n v="52431"/>
    <n v="173"/>
    <s v="#DiscoverWeekly"/>
    <s v="#MusicForEveryone"/>
    <n v="8.9237069349238848E-2"/>
  </r>
  <r>
    <s v="SP193"/>
    <x v="2"/>
    <d v="2024-06-04T00:00:00"/>
    <s v="Reel"/>
    <s v="Wrapped is here! Relive your top tracks "/>
    <n v="1211"/>
    <n v="431"/>
    <n v="83"/>
    <n v="26532"/>
    <n v="47305"/>
    <n v="232"/>
    <s v="#DiscoverWeekly"/>
    <s v="#SoundtrackOfLife"/>
    <n v="6.5015829941203071E-2"/>
  </r>
  <r>
    <s v="SP194"/>
    <x v="1"/>
    <d v="2024-05-10T00:00:00"/>
    <s v="Story"/>
    <s v="Explore the latest podcasts now."/>
    <n v="2784"/>
    <n v="111"/>
    <n v="399"/>
    <n v="58366"/>
    <n v="69512"/>
    <n v="269"/>
    <s v="#MusicForEveryone"/>
    <s v="#NowPlaying"/>
    <n v="5.6436966727204191E-2"/>
  </r>
  <r>
    <s v="SP195"/>
    <x v="2"/>
    <d v="2024-01-14T00:00:00"/>
    <s v="Text"/>
    <s v="New music just dropped. Hit play!"/>
    <n v="3634"/>
    <n v="280"/>
    <n v="399"/>
    <n v="40256"/>
    <n v="52605"/>
    <n v="213"/>
    <s v="#DiscoverWeekly"/>
    <s v="#SpotifyWrapped"/>
    <n v="0.10713930842607314"/>
  </r>
  <r>
    <s v="SP196"/>
    <x v="0"/>
    <d v="2025-01-12T00:00:00"/>
    <s v="Text"/>
    <s v="From pop to podcasts, it's all here."/>
    <n v="1771"/>
    <n v="487"/>
    <n v="272"/>
    <n v="48810"/>
    <n v="48084"/>
    <n v="272"/>
    <s v="#SoundtrackOfLife"/>
    <s v="#NowPlaying"/>
    <n v="5.1833640647408315E-2"/>
  </r>
  <r>
    <s v="SP197"/>
    <x v="2"/>
    <d v="2024-12-08T00:00:00"/>
    <s v="Text"/>
    <s v="Top trending tracks updated daily!"/>
    <n v="1424"/>
    <n v="396"/>
    <n v="312"/>
    <n v="59517"/>
    <n v="46102"/>
    <n v="239"/>
    <s v="#DiscoverWeekly"/>
    <s v="#SpotifyWrapped"/>
    <n v="3.5821698002251455E-2"/>
  </r>
  <r>
    <s v="SP198"/>
    <x v="1"/>
    <d v="2025-02-01T00:00:00"/>
    <s v="Story"/>
    <s v="Top trending tracks updated daily!"/>
    <n v="1079"/>
    <n v="265"/>
    <n v="190"/>
    <n v="43786"/>
    <n v="72428"/>
    <n v="222"/>
    <s v="#SoundtrackOfLife"/>
    <s v="#NowPlaying"/>
    <n v="3.5034029141734799E-2"/>
  </r>
  <r>
    <s v="SP199"/>
    <x v="1"/>
    <d v="2024-07-11T00:00:00"/>
    <s v="Story"/>
    <s v="Get into the groove with our new drop!"/>
    <n v="4247"/>
    <n v="179"/>
    <n v="175"/>
    <n v="32991"/>
    <n v="70120"/>
    <n v="276"/>
    <s v="#SoundtrackOfLife"/>
    <s v="#NowPlaying"/>
    <n v="0.13946227759085811"/>
  </r>
  <r>
    <s v="SP200"/>
    <x v="1"/>
    <d v="2024-03-18T00:00:00"/>
    <s v="Text"/>
    <s v="New music just dropped. Hit play!"/>
    <n v="2033"/>
    <n v="420"/>
    <n v="94"/>
    <n v="56290"/>
    <n v="57391"/>
    <n v="196"/>
    <s v="#NowPlaying"/>
    <m/>
    <n v="4.5247823769763724E-2"/>
  </r>
  <r>
    <s v="SP201"/>
    <x v="1"/>
    <d v="2024-09-12T00:00:00"/>
    <s v="Story"/>
    <s v="Wrapped is here! Relive your top tracks "/>
    <n v="1839"/>
    <n v="223"/>
    <n v="171"/>
    <n v="35459"/>
    <n v="69988"/>
    <n v="114"/>
    <s v="#MusicForEveryone"/>
    <s v="#NowPlaying"/>
    <n v="6.2974139146620034E-2"/>
  </r>
  <r>
    <s v="SP202"/>
    <x v="1"/>
    <d v="2024-01-11T00:00:00"/>
    <s v="Story"/>
    <s v="Wrapped is here! Relive your top tracks "/>
    <n v="2340"/>
    <n v="141"/>
    <n v="206"/>
    <n v="24916"/>
    <n v="30582"/>
    <n v="157"/>
    <s v="#SoundtrackOfLife"/>
    <s v="#NowPlaying"/>
    <n v="0.10784235029699792"/>
  </r>
  <r>
    <s v="SP203"/>
    <x v="0"/>
    <d v="2024-10-06T00:00:00"/>
    <s v="Text"/>
    <s v="Top trending tracks updated daily!"/>
    <n v="2080"/>
    <n v="389"/>
    <n v="92"/>
    <n v="30971"/>
    <n v="25347"/>
    <n v="111"/>
    <s v="#DiscoverWeekly"/>
    <m/>
    <n v="8.2690258629040073E-2"/>
  </r>
  <r>
    <s v="SP204"/>
    <x v="1"/>
    <d v="2024-12-30T00:00:00"/>
    <s v="Text"/>
    <s v="Get into the groove with our new drop!"/>
    <n v="4214"/>
    <n v="286"/>
    <n v="127"/>
    <n v="47293"/>
    <n v="27184"/>
    <n v="232"/>
    <s v="#NowPlaying"/>
    <m/>
    <n v="9.7836889180216949E-2"/>
  </r>
  <r>
    <s v="SP205"/>
    <x v="1"/>
    <d v="2025-04-16T00:00:00"/>
    <s v="Text"/>
    <s v="Wrapped is here! Relive your top tracks "/>
    <n v="3792"/>
    <n v="315"/>
    <n v="120"/>
    <n v="54592"/>
    <n v="67886"/>
    <n v="117"/>
    <s v="#SoundtrackOfLife"/>
    <m/>
    <n v="7.7428927315357568E-2"/>
  </r>
  <r>
    <s v="SP206"/>
    <x v="1"/>
    <d v="2024-08-21T00:00:00"/>
    <s v="Story"/>
    <s v="Explore the latest podcasts now."/>
    <n v="3989"/>
    <n v="476"/>
    <n v="128"/>
    <n v="57569"/>
    <n v="40193"/>
    <n v="222"/>
    <s v="#DiscoverWeekly"/>
    <s v="#MusicForEveryone"/>
    <n v="7.9782521843353188E-2"/>
  </r>
  <r>
    <s v="SP207"/>
    <x v="1"/>
    <d v="2024-04-05T00:00:00"/>
    <s v="Story"/>
    <s v="Wrapped is here! Relive your top tracks "/>
    <n v="2857"/>
    <n v="443"/>
    <n v="359"/>
    <n v="51519"/>
    <n v="28256"/>
    <n v="155"/>
    <s v="#SoundtrackOfLife"/>
    <s v="#NowPlaying"/>
    <n v="7.1022341272152026E-2"/>
  </r>
  <r>
    <s v="SP208"/>
    <x v="1"/>
    <d v="2025-04-07T00:00:00"/>
    <s v="Text"/>
    <s v="From pop to podcasts, it's all here."/>
    <n v="1403"/>
    <n v="385"/>
    <n v="344"/>
    <n v="54223"/>
    <n v="72595"/>
    <n v="239"/>
    <s v="#SoundtrackOfLife"/>
    <m/>
    <n v="3.9319108127547353E-2"/>
  </r>
  <r>
    <s v="SP209"/>
    <x v="1"/>
    <d v="2024-07-19T00:00:00"/>
    <s v="Story"/>
    <s v="What's your vibe today? #SpotifyHits"/>
    <n v="3071"/>
    <n v="126"/>
    <n v="200"/>
    <n v="44013"/>
    <n v="44679"/>
    <n v="118"/>
    <s v="#DiscoverWeekly"/>
    <s v="#MusicForEveryone"/>
    <n v="7.7181741758116915E-2"/>
  </r>
  <r>
    <s v="SP210"/>
    <x v="1"/>
    <d v="2025-05-03T00:00:00"/>
    <s v="Story"/>
    <s v="Top trending tracks updated daily!"/>
    <n v="1010"/>
    <n v="361"/>
    <n v="240"/>
    <n v="47229"/>
    <n v="72573"/>
    <n v="275"/>
    <s v="#SoundtrackOfLife"/>
    <s v="#NowPlaying"/>
    <n v="3.4110398272247981E-2"/>
  </r>
  <r>
    <s v="SP211"/>
    <x v="1"/>
    <d v="2024-04-14T00:00:00"/>
    <s v="Story"/>
    <s v="Discover fresh beats on Spotify!"/>
    <n v="1295"/>
    <n v="153"/>
    <n v="81"/>
    <n v="48350"/>
    <n v="61033"/>
    <n v="232"/>
    <s v="#DiscoverWeekly"/>
    <s v="#MusicForEveryone"/>
    <n v="3.1623578076525334E-2"/>
  </r>
  <r>
    <s v="SP212"/>
    <x v="1"/>
    <d v="2025-06-19T00:00:00"/>
    <s v="Story"/>
    <s v="What's your vibe today? #SpotifyHits"/>
    <n v="1433"/>
    <n v="452"/>
    <n v="305"/>
    <n v="54541"/>
    <n v="63700"/>
    <n v="296"/>
    <s v="#DiscoverWeekly"/>
    <s v="#MusicForEveryone"/>
    <n v="4.0153279184466734E-2"/>
  </r>
  <r>
    <s v="SP213"/>
    <x v="0"/>
    <d v="2025-06-24T00:00:00"/>
    <s v="Story"/>
    <s v="Get into the groove with our new drop!"/>
    <n v="4902"/>
    <n v="422"/>
    <n v="376"/>
    <n v="31674"/>
    <n v="53225"/>
    <n v="147"/>
    <s v="#NowPlaying"/>
    <m/>
    <n v="0.17995832544042431"/>
  </r>
  <r>
    <s v="SP214"/>
    <x v="1"/>
    <d v="2024-10-09T00:00:00"/>
    <s v="Text"/>
    <s v="Wrapped is here! Relive your top tracks "/>
    <n v="2659"/>
    <n v="167"/>
    <n v="73"/>
    <n v="23090"/>
    <n v="25872"/>
    <n v="293"/>
    <s v="#SoundtrackOfLife"/>
    <m/>
    <n v="0.12555218709398008"/>
  </r>
  <r>
    <s v="SP215"/>
    <x v="2"/>
    <d v="2025-01-15T00:00:00"/>
    <s v="Text"/>
    <s v="Your weekend playlist is waiting."/>
    <n v="2599"/>
    <n v="324"/>
    <n v="182"/>
    <n v="37525"/>
    <n v="37216"/>
    <n v="186"/>
    <s v="#DiscoverWeekly"/>
    <s v="#SpotifyWrapped"/>
    <n v="8.2744836775483013E-2"/>
  </r>
  <r>
    <s v="SP216"/>
    <x v="1"/>
    <d v="2025-01-12T00:00:00"/>
    <s v="Text"/>
    <s v="Music that moves you-only on Spotify."/>
    <n v="1765"/>
    <n v="285"/>
    <n v="100"/>
    <n v="41313"/>
    <n v="56575"/>
    <n v="174"/>
    <s v="#SoundtrackOfLife"/>
    <m/>
    <n v="5.2041730205988429E-2"/>
  </r>
  <r>
    <s v="SP217"/>
    <x v="0"/>
    <d v="2025-05-31T00:00:00"/>
    <s v="Text"/>
    <s v="What's your vibe today? #SpotifyHits"/>
    <n v="2169"/>
    <n v="240"/>
    <n v="57"/>
    <n v="26109"/>
    <n v="46667"/>
    <n v="133"/>
    <s v="#SoundtrackOfLife"/>
    <s v="#NowPlaying"/>
    <n v="9.4450189589796618E-2"/>
  </r>
  <r>
    <s v="SP218"/>
    <x v="1"/>
    <d v="2024-10-14T00:00:00"/>
    <s v="Story"/>
    <s v="Explore the latest podcasts now."/>
    <n v="4303"/>
    <n v="306"/>
    <n v="302"/>
    <n v="39575"/>
    <n v="33762"/>
    <n v="265"/>
    <s v="#DiscoverWeekly"/>
    <s v="#MusicForEveryone"/>
    <n v="0.12409349336702463"/>
  </r>
  <r>
    <s v="SP219"/>
    <x v="1"/>
    <d v="2024-02-10T00:00:00"/>
    <s v="Text"/>
    <s v="From pop to podcasts, it's all here."/>
    <n v="1519"/>
    <n v="456"/>
    <n v="379"/>
    <n v="51611"/>
    <n v="45880"/>
    <n v="176"/>
    <s v="#SoundtrackOfLife"/>
    <m/>
    <n v="4.5610431884675749E-2"/>
  </r>
  <r>
    <s v="SP220"/>
    <x v="2"/>
    <d v="2024-12-10T00:00:00"/>
    <s v="Text"/>
    <s v="What's your vibe today? #SpotifyHits"/>
    <n v="2569"/>
    <n v="140"/>
    <n v="375"/>
    <n v="38372"/>
    <n v="22102"/>
    <n v="255"/>
    <s v="#DiscoverWeekly"/>
    <s v="#SpotifyWrapped"/>
    <n v="8.0371103929948923E-2"/>
  </r>
  <r>
    <s v="SP221"/>
    <x v="1"/>
    <d v="2025-05-09T00:00:00"/>
    <s v="Story"/>
    <s v="Music that moves you-only on Spotify."/>
    <n v="2778"/>
    <n v="241"/>
    <n v="317"/>
    <n v="26247"/>
    <n v="20677"/>
    <n v="282"/>
    <s v="#MusicForEveryone"/>
    <s v="#NowPlaying"/>
    <n v="0.1271002400274317"/>
  </r>
  <r>
    <s v="SP222"/>
    <x v="1"/>
    <d v="2025-06-21T00:00:00"/>
    <s v="Text"/>
    <s v="Explore the latest podcasts now."/>
    <n v="3611"/>
    <n v="127"/>
    <n v="139"/>
    <n v="44768"/>
    <n v="29435"/>
    <n v="178"/>
    <s v="#NowPlaying"/>
    <m/>
    <n v="8.6602037169406718E-2"/>
  </r>
  <r>
    <s v="SP223"/>
    <x v="1"/>
    <d v="2024-06-19T00:00:00"/>
    <s v="Text"/>
    <s v="What's your vibe today? #SpotifyHits"/>
    <n v="1224"/>
    <n v="168"/>
    <n v="199"/>
    <n v="54232"/>
    <n v="52844"/>
    <n v="271"/>
    <s v="#SoundtrackOfLife"/>
    <m/>
    <n v="2.9336922849977874E-2"/>
  </r>
  <r>
    <s v="SP224"/>
    <x v="1"/>
    <d v="2024-12-10T00:00:00"/>
    <s v="Text"/>
    <s v="From pop to podcasts, it's all here."/>
    <n v="4673"/>
    <n v="270"/>
    <n v="93"/>
    <n v="45260"/>
    <n v="57513"/>
    <n v="103"/>
    <s v="#NowPlaying"/>
    <m/>
    <n v="0.11126822801590809"/>
  </r>
  <r>
    <s v="SP225"/>
    <x v="2"/>
    <d v="2024-02-01T00:00:00"/>
    <s v="Text"/>
    <s v="Wrapped is here! Relive your top tracks "/>
    <n v="1432"/>
    <n v="437"/>
    <n v="267"/>
    <n v="40634"/>
    <n v="54511"/>
    <n v="197"/>
    <s v="#DiscoverWeekly"/>
    <s v="#SpotifyWrapped"/>
    <n v="5.2566815966924252E-2"/>
  </r>
  <r>
    <s v="SP226"/>
    <x v="1"/>
    <d v="2024-01-17T00:00:00"/>
    <s v="Story"/>
    <s v="New music just dropped. Hit play!"/>
    <n v="2174"/>
    <n v="499"/>
    <n v="212"/>
    <n v="54938"/>
    <n v="27190"/>
    <n v="265"/>
    <s v="#MusicForEveryone"/>
    <s v="#NowPlaying"/>
    <n v="5.2513742764570971E-2"/>
  </r>
  <r>
    <s v="SP227"/>
    <x v="2"/>
    <d v="2025-03-22T00:00:00"/>
    <s v="Text"/>
    <s v="Music that moves you-only on Spotify."/>
    <n v="4308"/>
    <n v="171"/>
    <n v="106"/>
    <n v="36955"/>
    <n v="23949"/>
    <n v="294"/>
    <s v="#DiscoverWeekly"/>
    <s v="#SpotifyWrapped"/>
    <n v="0.12406981463942633"/>
  </r>
  <r>
    <s v="SP228"/>
    <x v="2"/>
    <d v="2024-05-30T00:00:00"/>
    <s v="Reel"/>
    <s v="What's your vibe today? #SpotifyHits"/>
    <n v="1060"/>
    <n v="442"/>
    <n v="319"/>
    <n v="57194"/>
    <n v="24258"/>
    <n v="101"/>
    <s v="#DiscoverWeekly"/>
    <s v="#SoundtrackOfLife"/>
    <n v="3.1839004091338254E-2"/>
  </r>
  <r>
    <s v="SP229"/>
    <x v="2"/>
    <d v="2024-02-24T00:00:00"/>
    <s v="Text"/>
    <s v="Music that moves you-only on Spotify."/>
    <n v="4653"/>
    <n v="226"/>
    <n v="349"/>
    <n v="56876"/>
    <n v="28452"/>
    <n v="257"/>
    <s v="#DiscoverWeekly"/>
    <s v="#SpotifyWrapped"/>
    <n v="9.191926295801392E-2"/>
  </r>
  <r>
    <s v="SP230"/>
    <x v="2"/>
    <d v="2025-05-14T00:00:00"/>
    <s v="Text"/>
    <s v="Discover fresh beats on Spotify!"/>
    <n v="1701"/>
    <n v="272"/>
    <n v="385"/>
    <n v="47496"/>
    <n v="40832"/>
    <n v="246"/>
    <s v="#DiscoverWeekly"/>
    <s v="#SpotifyWrapped"/>
    <n v="4.9646286003031836E-2"/>
  </r>
  <r>
    <s v="SP231"/>
    <x v="0"/>
    <d v="2024-03-28T00:00:00"/>
    <s v="Text"/>
    <s v="What's your vibe today? #SpotifyHits"/>
    <n v="1673"/>
    <n v="280"/>
    <n v="67"/>
    <n v="29847"/>
    <n v="48016"/>
    <n v="213"/>
    <s v="#SoundtrackOfLife"/>
    <s v="#NowPlaying"/>
    <n v="6.76784936509532E-2"/>
  </r>
  <r>
    <s v="SP232"/>
    <x v="2"/>
    <d v="2025-03-07T00:00:00"/>
    <s v="Text"/>
    <s v="Top trending tracks updated daily!"/>
    <n v="4310"/>
    <n v="284"/>
    <n v="306"/>
    <n v="44606"/>
    <n v="42604"/>
    <n v="290"/>
    <s v="#DiscoverWeekly"/>
    <s v="#SpotifyWrapped"/>
    <n v="0.10985069273191947"/>
  </r>
  <r>
    <s v="SP233"/>
    <x v="1"/>
    <d v="2024-10-20T00:00:00"/>
    <s v="Text"/>
    <s v="From pop to podcasts, it's all here."/>
    <n v="2752"/>
    <n v="309"/>
    <n v="91"/>
    <n v="39038"/>
    <n v="28095"/>
    <n v="277"/>
    <s v="#NowPlaying"/>
    <m/>
    <n v="8.0741841282852611E-2"/>
  </r>
  <r>
    <s v="SP234"/>
    <x v="1"/>
    <d v="2024-02-02T00:00:00"/>
    <s v="Text"/>
    <s v="From pop to podcasts, it's all here."/>
    <n v="3818"/>
    <n v="115"/>
    <n v="286"/>
    <n v="25127"/>
    <n v="22277"/>
    <n v="263"/>
    <s v="#NowPlaying"/>
    <m/>
    <n v="0.16790703227603773"/>
  </r>
  <r>
    <s v="SP235"/>
    <x v="2"/>
    <d v="2024-09-07T00:00:00"/>
    <s v="Text"/>
    <s v="Your weekend playlist is waiting."/>
    <n v="2101"/>
    <n v="411"/>
    <n v="190"/>
    <n v="41791"/>
    <n v="57090"/>
    <n v="172"/>
    <s v="#DiscoverWeekly"/>
    <s v="#SpotifyWrapped"/>
    <n v="6.4655069273288512E-2"/>
  </r>
  <r>
    <s v="SP236"/>
    <x v="0"/>
    <d v="2024-12-20T00:00:00"/>
    <s v="Text"/>
    <s v="Discover fresh beats on Spotify!"/>
    <n v="2519"/>
    <n v="202"/>
    <n v="239"/>
    <n v="36245"/>
    <n v="48606"/>
    <n v="145"/>
    <s v="#DiscoverWeekly"/>
    <m/>
    <n v="8.1666436749896543E-2"/>
  </r>
  <r>
    <s v="SP237"/>
    <x v="2"/>
    <d v="2024-01-14T00:00:00"/>
    <s v="Text"/>
    <s v="What's your vibe today? #SpotifyHits"/>
    <n v="4502"/>
    <n v="238"/>
    <n v="386"/>
    <n v="39198"/>
    <n v="25050"/>
    <n v="297"/>
    <s v="#DiscoverWeekly"/>
    <s v="#SpotifyWrapped"/>
    <n v="0.13077197816215114"/>
  </r>
  <r>
    <s v="SP238"/>
    <x v="0"/>
    <d v="2025-06-15T00:00:00"/>
    <s v="Text"/>
    <s v="Explore the latest podcasts now."/>
    <n v="2478"/>
    <n v="427"/>
    <n v="242"/>
    <n v="59272"/>
    <n v="37833"/>
    <n v="214"/>
    <s v="#SoundtrackOfLife"/>
    <s v="#NowPlaying"/>
    <n v="5.3094209744904843E-2"/>
  </r>
  <r>
    <s v="SP239"/>
    <x v="1"/>
    <d v="2024-12-13T00:00:00"/>
    <s v="Story"/>
    <s v="New music just dropped. Hit play!"/>
    <n v="4984"/>
    <n v="300"/>
    <n v="338"/>
    <n v="32900"/>
    <n v="31691"/>
    <n v="160"/>
    <s v="#MusicForEveryone"/>
    <s v="#NowPlaying"/>
    <n v="0.17088145896656534"/>
  </r>
  <r>
    <s v="SP240"/>
    <x v="2"/>
    <d v="2024-08-29T00:00:00"/>
    <s v="Text"/>
    <s v="Wrapped is here! Relive your top tracks "/>
    <n v="4774"/>
    <n v="389"/>
    <n v="358"/>
    <n v="52346"/>
    <n v="30518"/>
    <n v="277"/>
    <s v="#DiscoverWeekly"/>
    <s v="#SpotifyWrapped"/>
    <n v="0.10547128720437092"/>
  </r>
  <r>
    <s v="SP241"/>
    <x v="1"/>
    <d v="2024-09-15T00:00:00"/>
    <s v="Text"/>
    <s v="Get into the groove with our new drop!"/>
    <n v="2145"/>
    <n v="340"/>
    <n v="85"/>
    <n v="53323"/>
    <n v="49938"/>
    <n v="104"/>
    <s v="#NowPlaying"/>
    <m/>
    <n v="4.819683813738912E-2"/>
  </r>
  <r>
    <s v="SP242"/>
    <x v="1"/>
    <d v="2025-04-12T00:00:00"/>
    <s v="Story"/>
    <s v="From pop to podcasts, it's all here."/>
    <n v="4315"/>
    <n v="208"/>
    <n v="273"/>
    <n v="35780"/>
    <n v="44349"/>
    <n v="133"/>
    <s v="#DiscoverWeekly"/>
    <s v="#MusicForEveryone"/>
    <n v="0.13404136389044158"/>
  </r>
  <r>
    <s v="SP243"/>
    <x v="1"/>
    <d v="2024-12-10T00:00:00"/>
    <s v="Story"/>
    <s v="Wrapped is here! Relive your top tracks "/>
    <n v="2267"/>
    <n v="230"/>
    <n v="243"/>
    <n v="27904"/>
    <n v="69771"/>
    <n v="255"/>
    <s v="#DiscoverWeekly"/>
    <s v="#MusicForEveryone"/>
    <n v="9.8193807339449546E-2"/>
  </r>
  <r>
    <s v="SP244"/>
    <x v="2"/>
    <d v="2025-06-08T00:00:00"/>
    <s v="Text"/>
    <s v="Music that moves you-only on Spotify."/>
    <n v="4375"/>
    <n v="303"/>
    <n v="294"/>
    <n v="57468"/>
    <n v="53397"/>
    <n v="159"/>
    <s v="#DiscoverWeekly"/>
    <s v="#SpotifyWrapped"/>
    <n v="8.6517714206166912E-2"/>
  </r>
  <r>
    <s v="SP245"/>
    <x v="1"/>
    <d v="2025-01-09T00:00:00"/>
    <s v="Story"/>
    <s v="Your weekend playlist is waiting."/>
    <n v="3817"/>
    <n v="284"/>
    <n v="204"/>
    <n v="46434"/>
    <n v="53396"/>
    <n v="104"/>
    <s v="#MusicForEveryone"/>
    <s v="#NowPlaying"/>
    <n v="9.2712236723090841E-2"/>
  </r>
  <r>
    <s v="SP246"/>
    <x v="1"/>
    <d v="2024-07-08T00:00:00"/>
    <s v="Story"/>
    <s v="Top trending tracks updated daily!"/>
    <n v="2981"/>
    <n v="258"/>
    <n v="168"/>
    <n v="20677"/>
    <n v="68290"/>
    <n v="130"/>
    <s v="#SoundtrackOfLife"/>
    <s v="#NowPlaying"/>
    <n v="0.16477245248343569"/>
  </r>
  <r>
    <s v="SP247"/>
    <x v="1"/>
    <d v="2024-09-16T00:00:00"/>
    <s v="Story"/>
    <s v="Your weekend playlist is waiting."/>
    <n v="3300"/>
    <n v="354"/>
    <n v="397"/>
    <n v="56773"/>
    <n v="72110"/>
    <n v="163"/>
    <s v="#DiscoverWeekly"/>
    <s v="#MusicForEveryone"/>
    <n v="7.1354340971940891E-2"/>
  </r>
  <r>
    <s v="SP248"/>
    <x v="2"/>
    <d v="2024-06-14T00:00:00"/>
    <s v="Reel"/>
    <s v="Wrapped is here! Relive your top tracks "/>
    <n v="4722"/>
    <n v="310"/>
    <n v="344"/>
    <n v="27911"/>
    <n v="19000"/>
    <n v="225"/>
    <s v="#DiscoverWeekly"/>
    <s v="#SoundtrackOfLife"/>
    <n v="0.19261223173659131"/>
  </r>
  <r>
    <s v="SP249"/>
    <x v="0"/>
    <d v="2024-03-06T00:00:00"/>
    <s v="Text"/>
    <s v="What's your vibe today? #SpotifyHits"/>
    <n v="3529"/>
    <n v="263"/>
    <n v="107"/>
    <n v="26570"/>
    <n v="19367"/>
    <n v="96"/>
    <s v="#DiscoverWeekly"/>
    <m/>
    <n v="0.14674444862627023"/>
  </r>
  <r>
    <s v="SP250"/>
    <x v="1"/>
    <d v="2025-05-15T00:00:00"/>
    <s v="Text"/>
    <s v="Your weekend playlist is waiting."/>
    <n v="4782"/>
    <n v="210"/>
    <n v="311"/>
    <n v="29793"/>
    <n v="37543"/>
    <n v="145"/>
    <s v="#NowPlaying"/>
    <m/>
    <n v="0.17799483100057059"/>
  </r>
  <r>
    <s v="SP251"/>
    <x v="1"/>
    <d v="2024-07-07T00:00:00"/>
    <s v="Text"/>
    <s v="What's your vibe today? #SpotifyHits"/>
    <n v="1848"/>
    <n v="417"/>
    <n v="294"/>
    <n v="57819"/>
    <n v="19798"/>
    <n v="262"/>
    <s v="#SoundtrackOfLife"/>
    <m/>
    <n v="4.4258807658382193E-2"/>
  </r>
  <r>
    <s v="SP252"/>
    <x v="2"/>
    <d v="2024-10-26T00:00:00"/>
    <s v="Text"/>
    <s v="New music just dropped. Hit play!"/>
    <n v="4676"/>
    <n v="211"/>
    <n v="55"/>
    <n v="45917"/>
    <n v="73503"/>
    <n v="248"/>
    <s v="#DiscoverWeekly"/>
    <s v="#SpotifyWrapped"/>
    <n v="0.10762898272970794"/>
  </r>
  <r>
    <s v="SP253"/>
    <x v="2"/>
    <d v="2024-08-08T00:00:00"/>
    <s v="Text"/>
    <s v="From pop to podcasts, it's all here."/>
    <n v="1994"/>
    <n v="197"/>
    <n v="290"/>
    <n v="49500"/>
    <n v="23343"/>
    <n v="160"/>
    <s v="#DiscoverWeekly"/>
    <s v="#SpotifyWrapped"/>
    <n v="5.0121212121212122E-2"/>
  </r>
  <r>
    <s v="SP254"/>
    <x v="1"/>
    <d v="2025-02-03T00:00:00"/>
    <s v="Text"/>
    <s v="What's your vibe today? #SpotifyHits"/>
    <n v="4995"/>
    <n v="231"/>
    <n v="94"/>
    <n v="34431"/>
    <n v="32560"/>
    <n v="262"/>
    <s v="#NowPlaying"/>
    <m/>
    <n v="0.15451192239551567"/>
  </r>
  <r>
    <s v="SP255"/>
    <x v="1"/>
    <d v="2024-04-03T00:00:00"/>
    <s v="Story"/>
    <s v="Top trending tracks updated daily!"/>
    <n v="2291"/>
    <n v="146"/>
    <n v="399"/>
    <n v="49319"/>
    <n v="28056"/>
    <n v="90"/>
    <s v="#DiscoverWeekly"/>
    <s v="#MusicForEveryone"/>
    <n v="5.7503193495407452E-2"/>
  </r>
  <r>
    <s v="SP256"/>
    <x v="1"/>
    <d v="2024-07-08T00:00:00"/>
    <s v="Story"/>
    <s v="Wrapped is here! Relive your top tracks "/>
    <n v="2304"/>
    <n v="289"/>
    <n v="161"/>
    <n v="52645"/>
    <n v="66262"/>
    <n v="146"/>
    <s v="#MusicForEveryone"/>
    <s v="#NowPlaying"/>
    <n v="5.2312660271630736E-2"/>
  </r>
  <r>
    <s v="SP257"/>
    <x v="1"/>
    <d v="2024-06-08T00:00:00"/>
    <s v="Story"/>
    <s v="Top trending tracks updated daily!"/>
    <n v="3413"/>
    <n v="326"/>
    <n v="86"/>
    <n v="44680"/>
    <n v="52719"/>
    <n v="272"/>
    <s v="#DiscoverWeekly"/>
    <s v="#MusicForEveryone"/>
    <n v="8.5608773500447627E-2"/>
  </r>
  <r>
    <s v="SP258"/>
    <x v="2"/>
    <d v="2025-03-20T00:00:00"/>
    <s v="Reel"/>
    <s v="From pop to podcasts, it's all here."/>
    <n v="1453"/>
    <n v="156"/>
    <n v="178"/>
    <n v="52980"/>
    <n v="57180"/>
    <n v="286"/>
    <s v="#DiscoverWeekly"/>
    <s v="#SoundtrackOfLife"/>
    <n v="3.3729709324273313E-2"/>
  </r>
  <r>
    <s v="SP259"/>
    <x v="1"/>
    <d v="2025-01-19T00:00:00"/>
    <s v="Story"/>
    <s v="Music that moves you-only on Spotify."/>
    <n v="1651"/>
    <n v="480"/>
    <n v="282"/>
    <n v="32140"/>
    <n v="70560"/>
    <n v="138"/>
    <s v="#SoundtrackOfLife"/>
    <s v="#NowPlaying"/>
    <n v="7.5077784691972627E-2"/>
  </r>
  <r>
    <s v="SP260"/>
    <x v="1"/>
    <d v="2025-01-05T00:00:00"/>
    <s v="Story"/>
    <s v="Explore the latest podcasts now."/>
    <n v="3341"/>
    <n v="154"/>
    <n v="123"/>
    <n v="43369"/>
    <n v="49035"/>
    <n v="128"/>
    <s v="#MusicForEveryone"/>
    <s v="#NowPlaying"/>
    <n v="8.3423643616408028E-2"/>
  </r>
  <r>
    <s v="SP261"/>
    <x v="1"/>
    <d v="2024-11-16T00:00:00"/>
    <s v="Text"/>
    <s v="From pop to podcasts, it's all here."/>
    <n v="2972"/>
    <n v="263"/>
    <n v="308"/>
    <n v="51740"/>
    <n v="28214"/>
    <n v="190"/>
    <s v="#SoundtrackOfLife"/>
    <m/>
    <n v="6.8477000386548123E-2"/>
  </r>
  <r>
    <s v="SP262"/>
    <x v="1"/>
    <d v="2024-11-30T00:00:00"/>
    <s v="Story"/>
    <s v="Explore the latest podcasts now."/>
    <n v="4963"/>
    <n v="255"/>
    <n v="193"/>
    <n v="44386"/>
    <n v="28415"/>
    <n v="174"/>
    <s v="#MusicForEveryone"/>
    <s v="#NowPlaying"/>
    <n v="0.12190780876853062"/>
  </r>
  <r>
    <s v="SP263"/>
    <x v="2"/>
    <d v="2024-03-27T00:00:00"/>
    <s v="Text"/>
    <s v="Music that moves you-only on Spotify."/>
    <n v="2399"/>
    <n v="191"/>
    <n v="221"/>
    <n v="51603"/>
    <n v="40033"/>
    <n v="173"/>
    <s v="#DiscoverWeekly"/>
    <s v="#SpotifyWrapped"/>
    <n v="5.4473577117609438E-2"/>
  </r>
  <r>
    <s v="SP264"/>
    <x v="2"/>
    <d v="2025-05-31T00:00:00"/>
    <s v="Reel"/>
    <s v="Get into the groove with our new drop!"/>
    <n v="2162"/>
    <n v="318"/>
    <n v="83"/>
    <n v="46719"/>
    <n v="20482"/>
    <n v="185"/>
    <s v="#DiscoverWeekly"/>
    <s v="#SoundtrackOfLife"/>
    <n v="5.4859907104176028E-2"/>
  </r>
  <r>
    <s v="SP265"/>
    <x v="1"/>
    <d v="2025-06-17T00:00:00"/>
    <s v="Story"/>
    <s v="Explore the latest podcasts now."/>
    <n v="4341"/>
    <n v="141"/>
    <n v="63"/>
    <n v="50081"/>
    <n v="27507"/>
    <n v="221"/>
    <s v="#DiscoverWeekly"/>
    <s v="#MusicForEveryone"/>
    <n v="9.0752980172121162E-2"/>
  </r>
  <r>
    <s v="SP266"/>
    <x v="0"/>
    <d v="2024-05-30T00:00:00"/>
    <s v="Story"/>
    <s v="Get into the groove with our new drop!"/>
    <n v="2448"/>
    <n v="464"/>
    <n v="98"/>
    <n v="25737"/>
    <n v="48545"/>
    <n v="246"/>
    <s v="#NowPlaying"/>
    <m/>
    <n v="0.11695224773672146"/>
  </r>
  <r>
    <s v="SP267"/>
    <x v="2"/>
    <d v="2024-11-08T00:00:00"/>
    <s v="Text"/>
    <s v="Top trending tracks updated daily!"/>
    <n v="2471"/>
    <n v="166"/>
    <n v="320"/>
    <n v="48254"/>
    <n v="46900"/>
    <n v="111"/>
    <s v="#DiscoverWeekly"/>
    <s v="#SpotifyWrapped"/>
    <n v="6.1279893894806647E-2"/>
  </r>
  <r>
    <s v="SP268"/>
    <x v="2"/>
    <d v="2024-03-17T00:00:00"/>
    <s v="Reel"/>
    <s v="Explore the latest podcasts now."/>
    <n v="2692"/>
    <n v="446"/>
    <n v="216"/>
    <n v="45818"/>
    <n v="62723"/>
    <n v="85"/>
    <s v="#DiscoverWeekly"/>
    <s v="#SoundtrackOfLife"/>
    <n v="7.3202671439172376E-2"/>
  </r>
  <r>
    <s v="SP269"/>
    <x v="2"/>
    <d v="2024-06-21T00:00:00"/>
    <s v="Reel"/>
    <s v="Music that moves you-only on Spotify."/>
    <n v="4621"/>
    <n v="374"/>
    <n v="298"/>
    <n v="56979"/>
    <n v="24098"/>
    <n v="205"/>
    <s v="#DiscoverWeekly"/>
    <s v="#SoundtrackOfLife"/>
    <n v="9.2893873181347508E-2"/>
  </r>
  <r>
    <s v="SP270"/>
    <x v="1"/>
    <d v="2024-11-13T00:00:00"/>
    <s v="Story"/>
    <s v="New music just dropped. Hit play!"/>
    <n v="1409"/>
    <n v="466"/>
    <n v="105"/>
    <n v="58923"/>
    <n v="38753"/>
    <n v="265"/>
    <s v="#DiscoverWeekly"/>
    <s v="#MusicForEveryone"/>
    <n v="3.3603177027646251E-2"/>
  </r>
  <r>
    <s v="SP271"/>
    <x v="1"/>
    <d v="2025-02-05T00:00:00"/>
    <s v="Story"/>
    <s v="Discover fresh beats on Spotify!"/>
    <n v="3029"/>
    <n v="440"/>
    <n v="66"/>
    <n v="23815"/>
    <n v="47895"/>
    <n v="210"/>
    <s v="#DiscoverWeekly"/>
    <s v="#MusicForEveryone"/>
    <n v="0.14843585975225698"/>
  </r>
  <r>
    <s v="SP272"/>
    <x v="1"/>
    <d v="2024-11-07T00:00:00"/>
    <s v="Text"/>
    <s v="Explore the latest podcasts now."/>
    <n v="2229"/>
    <n v="395"/>
    <n v="328"/>
    <n v="56921"/>
    <n v="37176"/>
    <n v="126"/>
    <s v="#SoundtrackOfLife"/>
    <m/>
    <n v="5.1861351697967357E-2"/>
  </r>
  <r>
    <s v="SP273"/>
    <x v="1"/>
    <d v="2024-02-12T00:00:00"/>
    <s v="Text"/>
    <s v="Explore the latest podcasts now."/>
    <n v="2691"/>
    <n v="486"/>
    <n v="206"/>
    <n v="51133"/>
    <n v="44583"/>
    <n v="276"/>
    <s v="#NowPlaying"/>
    <m/>
    <n v="6.6160796354604659E-2"/>
  </r>
  <r>
    <s v="SP274"/>
    <x v="0"/>
    <d v="2024-10-08T00:00:00"/>
    <s v="Text"/>
    <s v="Explore the latest podcasts now."/>
    <n v="2110"/>
    <n v="384"/>
    <n v="236"/>
    <n v="49965"/>
    <n v="61555"/>
    <n v="195"/>
    <s v="#DiscoverWeekly"/>
    <m/>
    <n v="5.4638246772740921E-2"/>
  </r>
  <r>
    <s v="SP275"/>
    <x v="0"/>
    <d v="2024-02-19T00:00:00"/>
    <s v="Text"/>
    <s v="Wrapped is here! Relive your top tracks "/>
    <n v="4752"/>
    <n v="449"/>
    <n v="309"/>
    <n v="58530"/>
    <n v="26630"/>
    <n v="234"/>
    <s v="#DiscoverWeekly"/>
    <m/>
    <n v="9.4139757389372969E-2"/>
  </r>
  <r>
    <s v="SP276"/>
    <x v="1"/>
    <d v="2025-03-04T00:00:00"/>
    <s v="Text"/>
    <s v="Discover fresh beats on Spotify!"/>
    <n v="2177"/>
    <n v="258"/>
    <n v="292"/>
    <n v="47276"/>
    <n v="51324"/>
    <n v="143"/>
    <s v="#NowPlaying"/>
    <m/>
    <n v="5.7682545054573146E-2"/>
  </r>
  <r>
    <s v="SP277"/>
    <x v="0"/>
    <d v="2025-02-03T00:00:00"/>
    <s v="Story"/>
    <s v="New music just dropped. Hit play!"/>
    <n v="1205"/>
    <n v="486"/>
    <n v="269"/>
    <n v="23341"/>
    <n v="42411"/>
    <n v="184"/>
    <s v="#NowPlaying"/>
    <m/>
    <n v="8.3972409065592737E-2"/>
  </r>
  <r>
    <s v="SP278"/>
    <x v="0"/>
    <d v="2024-12-02T00:00:00"/>
    <s v="Text"/>
    <s v="Top trending tracks updated daily!"/>
    <n v="3194"/>
    <n v="292"/>
    <n v="245"/>
    <n v="56371"/>
    <n v="65597"/>
    <n v="163"/>
    <s v="#SoundtrackOfLife"/>
    <s v="#NowPlaying"/>
    <n v="6.6186514342481059E-2"/>
  </r>
  <r>
    <s v="SP279"/>
    <x v="1"/>
    <d v="2025-01-19T00:00:00"/>
    <s v="Story"/>
    <s v="New music just dropped. Hit play!"/>
    <n v="3507"/>
    <n v="295"/>
    <n v="371"/>
    <n v="20410"/>
    <n v="53965"/>
    <n v="212"/>
    <s v="#SoundtrackOfLife"/>
    <s v="#NowPlaying"/>
    <n v="0.20445859872611466"/>
  </r>
  <r>
    <s v="SP280"/>
    <x v="1"/>
    <d v="2024-09-28T00:00:00"/>
    <s v="Story"/>
    <s v="Wrapped is here! Relive your top tracks "/>
    <n v="4471"/>
    <n v="317"/>
    <n v="249"/>
    <n v="44862"/>
    <n v="33365"/>
    <n v="184"/>
    <s v="#DiscoverWeekly"/>
    <s v="#MusicForEveryone"/>
    <n v="0.1122776514644911"/>
  </r>
  <r>
    <s v="SP281"/>
    <x v="0"/>
    <d v="2024-01-07T00:00:00"/>
    <s v="Text"/>
    <s v="Top trending tracks updated daily!"/>
    <n v="4931"/>
    <n v="469"/>
    <n v="193"/>
    <n v="56701"/>
    <n v="69437"/>
    <n v="291"/>
    <s v="#SoundtrackOfLife"/>
    <s v="#NowPlaying"/>
    <n v="9.8640235621946709E-2"/>
  </r>
  <r>
    <s v="SP282"/>
    <x v="1"/>
    <d v="2024-02-21T00:00:00"/>
    <s v="Story"/>
    <s v="Get into the groove with our new drop!"/>
    <n v="2604"/>
    <n v="439"/>
    <n v="148"/>
    <n v="58468"/>
    <n v="39629"/>
    <n v="163"/>
    <s v="#MusicForEveryone"/>
    <s v="#NowPlaying"/>
    <n v="5.4576862557296296E-2"/>
  </r>
  <r>
    <s v="SP283"/>
    <x v="0"/>
    <d v="2024-08-27T00:00:00"/>
    <s v="Text"/>
    <s v="Music that moves you-only on Spotify."/>
    <n v="4197"/>
    <n v="359"/>
    <n v="280"/>
    <n v="56048"/>
    <n v="70930"/>
    <n v="295"/>
    <s v="#DiscoverWeekly"/>
    <m/>
    <n v="8.628318584070796E-2"/>
  </r>
  <r>
    <s v="SP284"/>
    <x v="0"/>
    <d v="2024-10-24T00:00:00"/>
    <s v="Story"/>
    <s v="Top trending tracks updated daily!"/>
    <n v="1914"/>
    <n v="255"/>
    <n v="156"/>
    <n v="27660"/>
    <n v="47776"/>
    <n v="111"/>
    <s v="#NowPlaying"/>
    <m/>
    <n v="8.4056399132321047E-2"/>
  </r>
  <r>
    <s v="SP285"/>
    <x v="2"/>
    <d v="2025-01-29T00:00:00"/>
    <s v="Text"/>
    <s v="New music just dropped. Hit play!"/>
    <n v="1334"/>
    <n v="357"/>
    <n v="257"/>
    <n v="56910"/>
    <n v="70606"/>
    <n v="228"/>
    <s v="#DiscoverWeekly"/>
    <s v="#SpotifyWrapped"/>
    <n v="3.4229485151994379E-2"/>
  </r>
  <r>
    <s v="SP286"/>
    <x v="0"/>
    <d v="2024-05-01T00:00:00"/>
    <s v="Text"/>
    <s v="Get into the groove with our new drop!"/>
    <n v="3359"/>
    <n v="137"/>
    <n v="387"/>
    <n v="33861"/>
    <n v="47257"/>
    <n v="198"/>
    <s v="#DiscoverWeekly"/>
    <m/>
    <n v="0.11467469950680724"/>
  </r>
  <r>
    <s v="SP287"/>
    <x v="2"/>
    <d v="2024-06-25T00:00:00"/>
    <s v="Text"/>
    <s v="Your weekend playlist is waiting."/>
    <n v="2172"/>
    <n v="338"/>
    <n v="70"/>
    <n v="30515"/>
    <n v="57853"/>
    <n v="156"/>
    <s v="#DiscoverWeekly"/>
    <s v="#SpotifyWrapped"/>
    <n v="8.4548582664263475E-2"/>
  </r>
  <r>
    <s v="SP288"/>
    <x v="1"/>
    <d v="2024-08-09T00:00:00"/>
    <s v="Story"/>
    <s v="From pop to podcasts, it's all here."/>
    <n v="4877"/>
    <n v="442"/>
    <n v="236"/>
    <n v="52673"/>
    <n v="48241"/>
    <n v="114"/>
    <s v="#DiscoverWeekly"/>
    <s v="#MusicForEveryone"/>
    <n v="0.10546200140489435"/>
  </r>
  <r>
    <s v="SP289"/>
    <x v="0"/>
    <d v="2025-01-21T00:00:00"/>
    <s v="Story"/>
    <s v="New music just dropped. Hit play!"/>
    <n v="4918"/>
    <n v="440"/>
    <n v="149"/>
    <n v="53269"/>
    <n v="64370"/>
    <n v="269"/>
    <s v="#NowPlaying"/>
    <m/>
    <n v="0.10338095327488783"/>
  </r>
  <r>
    <s v="SP290"/>
    <x v="1"/>
    <d v="2024-08-13T00:00:00"/>
    <s v="Text"/>
    <s v="Explore the latest podcasts now."/>
    <n v="3418"/>
    <n v="107"/>
    <n v="221"/>
    <n v="23927"/>
    <n v="26182"/>
    <n v="155"/>
    <s v="#SoundtrackOfLife"/>
    <m/>
    <n v="0.1565595352530614"/>
  </r>
  <r>
    <s v="SP291"/>
    <x v="0"/>
    <d v="2024-06-29T00:00:00"/>
    <s v="Text"/>
    <s v="Your weekend playlist is waiting."/>
    <n v="2088"/>
    <n v="490"/>
    <n v="124"/>
    <n v="46544"/>
    <n v="69346"/>
    <n v="178"/>
    <s v="#SoundtrackOfLife"/>
    <s v="#NowPlaying"/>
    <n v="5.8052595393606049E-2"/>
  </r>
  <r>
    <s v="SP292"/>
    <x v="1"/>
    <d v="2024-11-03T00:00:00"/>
    <s v="Story"/>
    <s v="Explore the latest podcasts now."/>
    <n v="3061"/>
    <n v="320"/>
    <n v="76"/>
    <n v="26640"/>
    <n v="24306"/>
    <n v="112"/>
    <s v="#MusicForEveryone"/>
    <s v="#NowPlaying"/>
    <n v="0.12976726726726726"/>
  </r>
  <r>
    <s v="SP293"/>
    <x v="2"/>
    <d v="2025-04-18T00:00:00"/>
    <s v="Reel"/>
    <s v="Your weekend playlist is waiting."/>
    <n v="1265"/>
    <n v="230"/>
    <n v="364"/>
    <n v="41312"/>
    <n v="50382"/>
    <n v="106"/>
    <s v="#DiscoverWeekly"/>
    <s v="#SoundtrackOfLife"/>
    <n v="4.4999031758326875E-2"/>
  </r>
  <r>
    <s v="SP294"/>
    <x v="0"/>
    <d v="2024-12-27T00:00:00"/>
    <s v="Text"/>
    <s v="From pop to podcasts, it's all here."/>
    <n v="1436"/>
    <n v="219"/>
    <n v="229"/>
    <n v="58488"/>
    <n v="24314"/>
    <n v="147"/>
    <s v="#DiscoverWeekly"/>
    <m/>
    <n v="3.221173574066475E-2"/>
  </r>
  <r>
    <s v="SP295"/>
    <x v="0"/>
    <d v="2025-03-08T00:00:00"/>
    <s v="Story"/>
    <s v="Top trending tracks updated daily!"/>
    <n v="2244"/>
    <n v="392"/>
    <n v="231"/>
    <n v="25834"/>
    <n v="50906"/>
    <n v="165"/>
    <s v="#NowPlaying"/>
    <m/>
    <n v="0.1109777812185492"/>
  </r>
  <r>
    <s v="SP296"/>
    <x v="1"/>
    <d v="2025-03-20T00:00:00"/>
    <s v="Story"/>
    <s v="Your weekend playlist is waiting."/>
    <n v="3393"/>
    <n v="104"/>
    <n v="79"/>
    <n v="30025"/>
    <n v="21593"/>
    <n v="165"/>
    <s v="#MusicForEveryone"/>
    <s v="#NowPlaying"/>
    <n v="0.1191007493755204"/>
  </r>
  <r>
    <s v="SP297"/>
    <x v="1"/>
    <d v="2024-11-16T00:00:00"/>
    <s v="Text"/>
    <s v="Explore the latest podcasts now."/>
    <n v="2901"/>
    <n v="108"/>
    <n v="86"/>
    <n v="51777"/>
    <n v="23773"/>
    <n v="160"/>
    <s v="#SoundtrackOfLife"/>
    <m/>
    <n v="5.9775576027966085E-2"/>
  </r>
  <r>
    <s v="SP298"/>
    <x v="1"/>
    <d v="2025-06-30T00:00:00"/>
    <s v="Text"/>
    <s v="What's your vibe today? #SpotifyHits"/>
    <n v="2275"/>
    <n v="285"/>
    <n v="125"/>
    <n v="43970"/>
    <n v="74761"/>
    <n v="83"/>
    <s v="#NowPlaying"/>
    <m/>
    <n v="6.1064362065044349E-2"/>
  </r>
  <r>
    <s v="SP299"/>
    <x v="1"/>
    <d v="2024-01-12T00:00:00"/>
    <s v="Story"/>
    <s v="Wrapped is here! Relive your top tracks "/>
    <n v="2227"/>
    <n v="494"/>
    <n v="161"/>
    <n v="51651"/>
    <n v="68074"/>
    <n v="240"/>
    <s v="#DiscoverWeekly"/>
    <s v="#MusicForEveryone"/>
    <n v="5.5797564422760453E-2"/>
  </r>
  <r>
    <s v="SP300"/>
    <x v="0"/>
    <d v="2024-02-07T00:00:00"/>
    <s v="Text"/>
    <s v="Music that moves you-only on Spotify."/>
    <n v="1883"/>
    <n v="432"/>
    <n v="397"/>
    <n v="28759"/>
    <n v="18691"/>
    <n v="270"/>
    <s v="#SoundtrackOfLife"/>
    <s v="#NowPlaying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x v="0"/>
    <n v="0.13200509890939993"/>
    <n v="53"/>
  </r>
  <r>
    <s v="SP002"/>
    <x v="0"/>
    <d v="2025-02-01T00:00:00"/>
    <x v="0"/>
    <s v="Explore the latest podcasts now."/>
    <n v="1934"/>
    <n v="210"/>
    <n v="393"/>
    <n v="29129"/>
    <n v="73287"/>
    <n v="273"/>
    <x v="1"/>
    <x v="1"/>
    <n v="8.7095334546328396E-2"/>
    <n v="145"/>
  </r>
  <r>
    <s v="SP003"/>
    <x v="1"/>
    <d v="2024-12-03T00:00:00"/>
    <x v="1"/>
    <s v="New music just dropped. Hit play!"/>
    <n v="3092"/>
    <n v="177"/>
    <n v="81"/>
    <n v="47533"/>
    <n v="29220"/>
    <n v="121"/>
    <x v="2"/>
    <x v="0"/>
    <n v="7.0477352576105018E-2"/>
    <n v="202"/>
  </r>
  <r>
    <s v="SP004"/>
    <x v="0"/>
    <d v="2024-12-03T00:00:00"/>
    <x v="0"/>
    <s v="Wrapped is here! Relive your top tracks "/>
    <n v="3173"/>
    <n v="229"/>
    <n v="197"/>
    <n v="29604"/>
    <n v="21809"/>
    <n v="272"/>
    <x v="0"/>
    <x v="0"/>
    <n v="0.1215714092690177"/>
    <n v="64"/>
  </r>
  <r>
    <s v="SP005"/>
    <x v="2"/>
    <d v="2024-04-06T00:00:00"/>
    <x v="0"/>
    <s v="Music that moves you-only on Spotify."/>
    <n v="2748"/>
    <n v="145"/>
    <n v="315"/>
    <n v="24401"/>
    <n v="61182"/>
    <n v="200"/>
    <x v="1"/>
    <x v="2"/>
    <n v="0.1314700217204213"/>
    <n v="54"/>
  </r>
  <r>
    <s v="SP006"/>
    <x v="2"/>
    <d v="2024-06-13T00:00:00"/>
    <x v="0"/>
    <s v="What's your vibe today? #SpotifyHits"/>
    <n v="3882"/>
    <n v="239"/>
    <n v="275"/>
    <n v="58748"/>
    <n v="44646"/>
    <n v="149"/>
    <x v="1"/>
    <x v="2"/>
    <n v="7.4828079253761837E-2"/>
    <n v="190"/>
  </r>
  <r>
    <s v="SP007"/>
    <x v="1"/>
    <d v="2024-12-19T00:00:00"/>
    <x v="1"/>
    <s v="Get into the groove with our new drop!"/>
    <n v="4674"/>
    <n v="409"/>
    <n v="327"/>
    <n v="20756"/>
    <n v="63599"/>
    <n v="212"/>
    <x v="0"/>
    <x v="0"/>
    <n v="0.26064752360763155"/>
    <n v="1"/>
  </r>
  <r>
    <s v="SP008"/>
    <x v="1"/>
    <d v="2024-05-09T00:00:00"/>
    <x v="1"/>
    <s v="Wrapped is here! Relive your top tracks "/>
    <n v="1428"/>
    <n v="347"/>
    <n v="67"/>
    <n v="21148"/>
    <n v="19712"/>
    <n v="120"/>
    <x v="1"/>
    <x v="3"/>
    <n v="8.7100435029317191E-2"/>
    <n v="144"/>
  </r>
  <r>
    <s v="SP009"/>
    <x v="1"/>
    <d v="2025-06-15T00:00:00"/>
    <x v="0"/>
    <s v="Top trending tracks updated daily!"/>
    <n v="4432"/>
    <n v="223"/>
    <n v="299"/>
    <n v="59016"/>
    <n v="21742"/>
    <n v="171"/>
    <x v="3"/>
    <x v="1"/>
    <n v="8.3943337400027115E-2"/>
    <n v="162"/>
  </r>
  <r>
    <s v="SP010"/>
    <x v="1"/>
    <d v="2024-12-04T00:00:00"/>
    <x v="0"/>
    <s v="Wrapped is here! Relive your top tracks "/>
    <n v="2357"/>
    <n v="274"/>
    <n v="172"/>
    <n v="21566"/>
    <n v="66829"/>
    <n v="284"/>
    <x v="3"/>
    <x v="1"/>
    <n v="0.12997310581470833"/>
    <n v="56"/>
  </r>
  <r>
    <s v="SP011"/>
    <x v="1"/>
    <d v="2024-03-06T00:00:00"/>
    <x v="0"/>
    <s v="Discover fresh beats on Spotify!"/>
    <n v="1971"/>
    <n v="370"/>
    <n v="306"/>
    <n v="31316"/>
    <n v="27897"/>
    <n v="88"/>
    <x v="0"/>
    <x v="1"/>
    <n v="8.4525482181632389E-2"/>
    <n v="158"/>
  </r>
  <r>
    <s v="SP012"/>
    <x v="0"/>
    <d v="2024-05-14T00:00:00"/>
    <x v="0"/>
    <s v="Discover fresh beats on Spotify!"/>
    <n v="1485"/>
    <n v="353"/>
    <n v="244"/>
    <n v="38419"/>
    <n v="38556"/>
    <n v="86"/>
    <x v="0"/>
    <x v="0"/>
    <n v="5.4191936281527367E-2"/>
    <n v="241"/>
  </r>
  <r>
    <s v="SP013"/>
    <x v="1"/>
    <d v="2025-06-18T00:00:00"/>
    <x v="1"/>
    <s v="Discover fresh beats on Spotify!"/>
    <n v="3956"/>
    <n v="319"/>
    <n v="61"/>
    <n v="58162"/>
    <n v="28720"/>
    <n v="213"/>
    <x v="2"/>
    <x v="0"/>
    <n v="7.4550393727863554E-2"/>
    <n v="191"/>
  </r>
  <r>
    <s v="SP014"/>
    <x v="1"/>
    <d v="2024-10-08T00:00:00"/>
    <x v="0"/>
    <s v="From pop to podcasts, it's all here."/>
    <n v="2460"/>
    <n v="409"/>
    <n v="253"/>
    <n v="36702"/>
    <n v="46122"/>
    <n v="264"/>
    <x v="3"/>
    <x v="1"/>
    <n v="8.5063484278785892E-2"/>
    <n v="155"/>
  </r>
  <r>
    <s v="SP015"/>
    <x v="1"/>
    <d v="2024-05-06T00:00:00"/>
    <x v="0"/>
    <s v="Your weekend playlist is waiting."/>
    <n v="3476"/>
    <n v="355"/>
    <n v="396"/>
    <n v="37492"/>
    <n v="27285"/>
    <n v="179"/>
    <x v="3"/>
    <x v="1"/>
    <n v="0.11274405206444041"/>
    <n v="75"/>
  </r>
  <r>
    <s v="SP016"/>
    <x v="1"/>
    <d v="2024-12-29T00:00:00"/>
    <x v="1"/>
    <s v="New music just dropped. Hit play!"/>
    <n v="4049"/>
    <n v="377"/>
    <n v="94"/>
    <n v="48182"/>
    <n v="42875"/>
    <n v="172"/>
    <x v="2"/>
    <x v="0"/>
    <n v="9.3810966751068869E-2"/>
    <n v="127"/>
  </r>
  <r>
    <s v="SP017"/>
    <x v="1"/>
    <d v="2024-06-10T00:00:00"/>
    <x v="0"/>
    <s v="What's your vibe today? #SpotifyHits"/>
    <n v="1514"/>
    <n v="164"/>
    <n v="275"/>
    <n v="41364"/>
    <n v="44389"/>
    <n v="83"/>
    <x v="3"/>
    <x v="1"/>
    <n v="4.7214969538729328E-2"/>
    <n v="261"/>
  </r>
  <r>
    <s v="SP018"/>
    <x v="0"/>
    <d v="2024-02-03T00:00:00"/>
    <x v="1"/>
    <s v="Music that moves you-only on Spotify."/>
    <n v="4281"/>
    <n v="101"/>
    <n v="163"/>
    <n v="32278"/>
    <n v="53382"/>
    <n v="235"/>
    <x v="3"/>
    <x v="1"/>
    <n v="0.1408079806679472"/>
    <n v="46"/>
  </r>
  <r>
    <s v="SP019"/>
    <x v="2"/>
    <d v="2024-06-15T00:00:00"/>
    <x v="2"/>
    <s v="Get into the groove with our new drop!"/>
    <n v="1751"/>
    <n v="143"/>
    <n v="151"/>
    <n v="31826"/>
    <n v="47729"/>
    <n v="95"/>
    <x v="1"/>
    <x v="4"/>
    <n v="6.4255640042732362E-2"/>
    <n v="213"/>
  </r>
  <r>
    <s v="SP020"/>
    <x v="0"/>
    <d v="2024-07-05T00:00:00"/>
    <x v="0"/>
    <s v="Your weekend playlist is waiting."/>
    <n v="3753"/>
    <n v="411"/>
    <n v="308"/>
    <n v="29138"/>
    <n v="27678"/>
    <n v="90"/>
    <x v="1"/>
    <x v="1"/>
    <n v="0.15347655981879332"/>
    <n v="35"/>
  </r>
  <r>
    <s v="SP021"/>
    <x v="0"/>
    <d v="2024-11-07T00:00:00"/>
    <x v="1"/>
    <s v="Wrapped is here! Relive your top tracks "/>
    <n v="1678"/>
    <n v="423"/>
    <n v="323"/>
    <n v="55668"/>
    <n v="37945"/>
    <n v="230"/>
    <x v="3"/>
    <x v="1"/>
    <n v="4.3543867212761371E-2"/>
    <n v="271"/>
  </r>
  <r>
    <s v="SP022"/>
    <x v="0"/>
    <d v="2025-06-15T00:00:00"/>
    <x v="0"/>
    <s v="What's your vibe today? #SpotifyHits"/>
    <n v="4896"/>
    <n v="466"/>
    <n v="233"/>
    <n v="28621"/>
    <n v="34270"/>
    <n v="84"/>
    <x v="0"/>
    <x v="0"/>
    <n v="0.19548583208133888"/>
    <n v="6"/>
  </r>
  <r>
    <s v="SP023"/>
    <x v="2"/>
    <d v="2024-06-09T00:00:00"/>
    <x v="2"/>
    <s v="From pop to podcasts, it's all here."/>
    <n v="2786"/>
    <n v="368"/>
    <n v="208"/>
    <n v="42000"/>
    <n v="39967"/>
    <n v="103"/>
    <x v="1"/>
    <x v="4"/>
    <n v="8.0047619047619048E-2"/>
    <n v="178"/>
  </r>
  <r>
    <s v="SP024"/>
    <x v="1"/>
    <d v="2024-10-18T00:00:00"/>
    <x v="0"/>
    <s v="New music just dropped. Hit play!"/>
    <n v="2607"/>
    <n v="379"/>
    <n v="180"/>
    <n v="28712"/>
    <n v="61620"/>
    <n v="174"/>
    <x v="0"/>
    <x v="1"/>
    <n v="0.11026748397882419"/>
    <n v="83"/>
  </r>
  <r>
    <s v="SP025"/>
    <x v="2"/>
    <d v="2024-10-10T00:00:00"/>
    <x v="2"/>
    <s v="From pop to podcasts, it's all here."/>
    <n v="4013"/>
    <n v="320"/>
    <n v="92"/>
    <n v="54605"/>
    <n v="60169"/>
    <n v="232"/>
    <x v="1"/>
    <x v="4"/>
    <n v="8.1036535115831879E-2"/>
    <n v="174"/>
  </r>
  <r>
    <s v="SP026"/>
    <x v="1"/>
    <d v="2025-05-14T00:00:00"/>
    <x v="1"/>
    <s v="From pop to podcasts, it's all here."/>
    <n v="2707"/>
    <n v="103"/>
    <n v="51"/>
    <n v="55302"/>
    <n v="18801"/>
    <n v="147"/>
    <x v="1"/>
    <x v="3"/>
    <n v="5.173411449857148E-2"/>
    <n v="251"/>
  </r>
  <r>
    <s v="SP027"/>
    <x v="0"/>
    <d v="2024-11-29T00:00:00"/>
    <x v="0"/>
    <s v="What's your vibe today? #SpotifyHits"/>
    <n v="2824"/>
    <n v="425"/>
    <n v="274"/>
    <n v="31004"/>
    <n v="53488"/>
    <n v="268"/>
    <x v="0"/>
    <x v="0"/>
    <n v="0.11363049929041415"/>
    <n v="73"/>
  </r>
  <r>
    <s v="SP028"/>
    <x v="2"/>
    <d v="2024-03-05T00:00:00"/>
    <x v="2"/>
    <s v="Explore the latest podcasts now."/>
    <n v="3558"/>
    <n v="314"/>
    <n v="199"/>
    <n v="49612"/>
    <n v="53929"/>
    <n v="206"/>
    <x v="1"/>
    <x v="4"/>
    <n v="8.205676046117874E-2"/>
    <n v="169"/>
  </r>
  <r>
    <s v="SP029"/>
    <x v="1"/>
    <d v="2025-03-18T00:00:00"/>
    <x v="1"/>
    <s v="Explore the latest podcasts now."/>
    <n v="3418"/>
    <n v="188"/>
    <n v="387"/>
    <n v="57431"/>
    <n v="36933"/>
    <n v="202"/>
    <x v="2"/>
    <x v="0"/>
    <n v="6.9526910553533799E-2"/>
    <n v="203"/>
  </r>
  <r>
    <s v="SP030"/>
    <x v="1"/>
    <d v="2025-04-26T00:00:00"/>
    <x v="0"/>
    <s v="Discover fresh beats on Spotify!"/>
    <n v="2411"/>
    <n v="194"/>
    <n v="168"/>
    <n v="26665"/>
    <n v="71699"/>
    <n v="197"/>
    <x v="3"/>
    <x v="1"/>
    <n v="0.10399399962497656"/>
    <n v="101"/>
  </r>
  <r>
    <s v="SP031"/>
    <x v="0"/>
    <d v="2025-01-01T00:00:00"/>
    <x v="0"/>
    <s v="New music just dropped. Hit play!"/>
    <n v="4036"/>
    <n v="112"/>
    <n v="382"/>
    <n v="56284"/>
    <n v="29440"/>
    <n v="279"/>
    <x v="0"/>
    <x v="0"/>
    <n v="8.0484684812735408E-2"/>
    <n v="176"/>
  </r>
  <r>
    <s v="SP032"/>
    <x v="1"/>
    <d v="2024-05-07T00:00:00"/>
    <x v="1"/>
    <s v="Explore the latest podcasts now."/>
    <n v="2776"/>
    <n v="307"/>
    <n v="178"/>
    <n v="43365"/>
    <n v="48408"/>
    <n v="138"/>
    <x v="0"/>
    <x v="0"/>
    <n v="7.519889311656866E-2"/>
    <n v="187"/>
  </r>
  <r>
    <s v="SP033"/>
    <x v="1"/>
    <d v="2024-10-09T00:00:00"/>
    <x v="1"/>
    <s v="Discover fresh beats on Spotify!"/>
    <n v="4929"/>
    <n v="182"/>
    <n v="95"/>
    <n v="32181"/>
    <n v="31084"/>
    <n v="289"/>
    <x v="1"/>
    <x v="3"/>
    <n v="0.16177247444144061"/>
    <n v="25"/>
  </r>
  <r>
    <s v="SP034"/>
    <x v="0"/>
    <d v="2025-01-09T00:00:00"/>
    <x v="0"/>
    <s v="New music just dropped. Hit play!"/>
    <n v="1015"/>
    <n v="366"/>
    <n v="308"/>
    <n v="38127"/>
    <n v="63790"/>
    <n v="287"/>
    <x v="0"/>
    <x v="0"/>
    <n v="4.4299315445747112E-2"/>
    <n v="268"/>
  </r>
  <r>
    <s v="SP035"/>
    <x v="1"/>
    <d v="2025-05-08T00:00:00"/>
    <x v="1"/>
    <s v="Your weekend playlist is waiting."/>
    <n v="3316"/>
    <n v="332"/>
    <n v="268"/>
    <n v="40095"/>
    <n v="36913"/>
    <n v="265"/>
    <x v="2"/>
    <x v="0"/>
    <n v="9.7668038408779148E-2"/>
    <n v="116"/>
  </r>
  <r>
    <s v="SP036"/>
    <x v="0"/>
    <d v="2024-05-04T00:00:00"/>
    <x v="0"/>
    <s v="Wrapped is here! Relive your top tracks "/>
    <n v="2274"/>
    <n v="243"/>
    <n v="222"/>
    <n v="43066"/>
    <n v="59174"/>
    <n v="80"/>
    <x v="1"/>
    <x v="1"/>
    <n v="6.3600055728416843E-2"/>
    <n v="215"/>
  </r>
  <r>
    <s v="SP037"/>
    <x v="1"/>
    <d v="2025-05-27T00:00:00"/>
    <x v="1"/>
    <s v="Explore the latest podcasts now."/>
    <n v="4095"/>
    <n v="385"/>
    <n v="400"/>
    <n v="45300"/>
    <n v="31795"/>
    <n v="80"/>
    <x v="2"/>
    <x v="0"/>
    <n v="0.10772626931567329"/>
    <n v="89"/>
  </r>
  <r>
    <s v="SP038"/>
    <x v="0"/>
    <d v="2024-09-10T00:00:00"/>
    <x v="1"/>
    <s v="New music just dropped. Hit play!"/>
    <n v="1230"/>
    <n v="309"/>
    <n v="207"/>
    <n v="44629"/>
    <n v="40699"/>
    <n v="195"/>
    <x v="3"/>
    <x v="1"/>
    <n v="3.9122543637545096E-2"/>
    <n v="280"/>
  </r>
  <r>
    <s v="SP039"/>
    <x v="0"/>
    <d v="2024-11-25T00:00:00"/>
    <x v="0"/>
    <s v="From pop to podcasts, it's all here."/>
    <n v="1341"/>
    <n v="472"/>
    <n v="238"/>
    <n v="51386"/>
    <n v="51706"/>
    <n v="133"/>
    <x v="1"/>
    <x v="1"/>
    <n v="3.9913595142645857E-2"/>
    <n v="277"/>
  </r>
  <r>
    <s v="SP040"/>
    <x v="1"/>
    <d v="2025-06-10T00:00:00"/>
    <x v="0"/>
    <s v="Explore the latest podcasts now."/>
    <n v="3615"/>
    <n v="192"/>
    <n v="162"/>
    <n v="27492"/>
    <n v="35341"/>
    <n v="125"/>
    <x v="3"/>
    <x v="1"/>
    <n v="0.14436927106067218"/>
    <n v="42"/>
  </r>
  <r>
    <s v="SP041"/>
    <x v="0"/>
    <d v="2024-04-19T00:00:00"/>
    <x v="0"/>
    <s v="New music just dropped. Hit play!"/>
    <n v="4001"/>
    <n v="353"/>
    <n v="129"/>
    <n v="41265"/>
    <n v="37279"/>
    <n v="275"/>
    <x v="0"/>
    <x v="0"/>
    <n v="0.10863928268508422"/>
    <n v="87"/>
  </r>
  <r>
    <s v="SP042"/>
    <x v="0"/>
    <d v="2025-01-26T00:00:00"/>
    <x v="1"/>
    <s v="What's your vibe today? #SpotifyHits"/>
    <n v="3451"/>
    <n v="363"/>
    <n v="393"/>
    <n v="44853"/>
    <n v="69032"/>
    <n v="211"/>
    <x v="3"/>
    <x v="1"/>
    <n v="9.379528682585335E-2"/>
    <n v="128"/>
  </r>
  <r>
    <s v="SP043"/>
    <x v="0"/>
    <d v="2025-02-14T00:00:00"/>
    <x v="0"/>
    <s v="Top trending tracks updated daily!"/>
    <n v="4891"/>
    <n v="450"/>
    <n v="387"/>
    <n v="48746"/>
    <n v="37312"/>
    <n v="154"/>
    <x v="0"/>
    <x v="0"/>
    <n v="0.11750707750379519"/>
    <n v="66"/>
  </r>
  <r>
    <s v="SP044"/>
    <x v="0"/>
    <d v="2024-09-06T00:00:00"/>
    <x v="0"/>
    <s v="New music just dropped. Hit play!"/>
    <n v="1452"/>
    <n v="281"/>
    <n v="326"/>
    <n v="51556"/>
    <n v="62599"/>
    <n v="290"/>
    <x v="1"/>
    <x v="1"/>
    <n v="3.9937155714174881E-2"/>
    <n v="276"/>
  </r>
  <r>
    <s v="SP045"/>
    <x v="2"/>
    <d v="2024-07-14T00:00:00"/>
    <x v="0"/>
    <s v="Your weekend playlist is waiting."/>
    <n v="3806"/>
    <n v="114"/>
    <n v="278"/>
    <n v="36148"/>
    <n v="24209"/>
    <n v="201"/>
    <x v="1"/>
    <x v="2"/>
    <n v="0.11613367267898639"/>
    <n v="70"/>
  </r>
  <r>
    <s v="SP046"/>
    <x v="0"/>
    <d v="2024-02-12T00:00:00"/>
    <x v="0"/>
    <s v="Explore the latest podcasts now."/>
    <n v="2923"/>
    <n v="330"/>
    <n v="250"/>
    <n v="23993"/>
    <n v="74590"/>
    <n v="92"/>
    <x v="1"/>
    <x v="1"/>
    <n v="0.14600091693410577"/>
    <n v="40"/>
  </r>
  <r>
    <s v="SP047"/>
    <x v="2"/>
    <d v="2024-03-14T00:00:00"/>
    <x v="2"/>
    <s v="From pop to podcasts, it's all here."/>
    <n v="3361"/>
    <n v="188"/>
    <n v="358"/>
    <n v="39838"/>
    <n v="24536"/>
    <n v="120"/>
    <x v="1"/>
    <x v="4"/>
    <n v="9.8072192379135503E-2"/>
    <n v="113"/>
  </r>
  <r>
    <s v="SP048"/>
    <x v="0"/>
    <d v="2025-02-05T00:00:00"/>
    <x v="1"/>
    <s v="Music that moves you-only on Spotify."/>
    <n v="3074"/>
    <n v="371"/>
    <n v="348"/>
    <n v="24104"/>
    <n v="57803"/>
    <n v="213"/>
    <x v="3"/>
    <x v="1"/>
    <n v="0.15735977431131762"/>
    <n v="30"/>
  </r>
  <r>
    <s v="SP049"/>
    <x v="1"/>
    <d v="2024-08-29T00:00:00"/>
    <x v="1"/>
    <s v="Get into the groove with our new drop!"/>
    <n v="4276"/>
    <n v="227"/>
    <n v="223"/>
    <n v="43443"/>
    <n v="41005"/>
    <n v="191"/>
    <x v="1"/>
    <x v="3"/>
    <n v="0.1087862256289851"/>
    <n v="86"/>
  </r>
  <r>
    <s v="SP050"/>
    <x v="1"/>
    <d v="2025-04-22T00:00:00"/>
    <x v="0"/>
    <s v="Discover fresh beats on Spotify!"/>
    <n v="4401"/>
    <n v="421"/>
    <n v="216"/>
    <n v="24890"/>
    <n v="54361"/>
    <n v="148"/>
    <x v="3"/>
    <x v="1"/>
    <n v="0.20241060666934513"/>
    <n v="5"/>
  </r>
  <r>
    <s v="SP051"/>
    <x v="2"/>
    <d v="2024-05-13T00:00:00"/>
    <x v="2"/>
    <s v="Explore the latest podcasts now."/>
    <n v="4161"/>
    <n v="481"/>
    <n v="61"/>
    <n v="45884"/>
    <n v="48955"/>
    <n v="215"/>
    <x v="1"/>
    <x v="4"/>
    <n v="0.10249760265016128"/>
    <n v="104"/>
  </r>
  <r>
    <s v="SP052"/>
    <x v="1"/>
    <d v="2024-09-04T00:00:00"/>
    <x v="1"/>
    <s v="New music just dropped. Hit play!"/>
    <n v="2613"/>
    <n v="455"/>
    <n v="228"/>
    <n v="21645"/>
    <n v="61334"/>
    <n v="261"/>
    <x v="1"/>
    <x v="3"/>
    <n v="0.15227535227535227"/>
    <n v="36"/>
  </r>
  <r>
    <s v="SP053"/>
    <x v="1"/>
    <d v="2024-08-12T00:00:00"/>
    <x v="1"/>
    <s v="What's your vibe today? #SpotifyHits"/>
    <n v="2842"/>
    <n v="213"/>
    <n v="331"/>
    <n v="57660"/>
    <n v="68606"/>
    <n v="87"/>
    <x v="2"/>
    <x v="0"/>
    <n v="5.8723551855705859E-2"/>
    <n v="228"/>
  </r>
  <r>
    <s v="SP054"/>
    <x v="0"/>
    <d v="2025-03-06T00:00:00"/>
    <x v="0"/>
    <s v="Get into the groove with our new drop!"/>
    <n v="4851"/>
    <n v="460"/>
    <n v="212"/>
    <n v="58075"/>
    <n v="59574"/>
    <n v="239"/>
    <x v="1"/>
    <x v="1"/>
    <n v="9.5101162290142052E-2"/>
    <n v="119"/>
  </r>
  <r>
    <s v="SP055"/>
    <x v="1"/>
    <d v="2024-05-08T00:00:00"/>
    <x v="0"/>
    <s v="Explore the latest podcasts now."/>
    <n v="1828"/>
    <n v="450"/>
    <n v="214"/>
    <n v="52115"/>
    <n v="19166"/>
    <n v="190"/>
    <x v="3"/>
    <x v="1"/>
    <n v="4.781732706514439E-2"/>
    <n v="259"/>
  </r>
  <r>
    <s v="SP056"/>
    <x v="0"/>
    <d v="2025-02-19T00:00:00"/>
    <x v="1"/>
    <s v="From pop to podcasts, it's all here."/>
    <n v="2422"/>
    <n v="455"/>
    <n v="376"/>
    <n v="23428"/>
    <n v="46775"/>
    <n v="259"/>
    <x v="3"/>
    <x v="1"/>
    <n v="0.13885094758408742"/>
    <n v="48"/>
  </r>
  <r>
    <s v="SP057"/>
    <x v="0"/>
    <d v="2024-01-08T00:00:00"/>
    <x v="0"/>
    <s v="Top trending tracks updated daily!"/>
    <n v="2683"/>
    <n v="405"/>
    <n v="223"/>
    <n v="31233"/>
    <n v="58106"/>
    <n v="291"/>
    <x v="1"/>
    <x v="1"/>
    <n v="0.10600966926007749"/>
    <n v="95"/>
  </r>
  <r>
    <s v="SP058"/>
    <x v="2"/>
    <d v="2024-07-17T00:00:00"/>
    <x v="0"/>
    <s v="Top trending tracks updated daily!"/>
    <n v="3135"/>
    <n v="110"/>
    <n v="215"/>
    <n v="39192"/>
    <n v="24744"/>
    <n v="177"/>
    <x v="1"/>
    <x v="2"/>
    <n v="8.8283323127168814E-2"/>
    <n v="141"/>
  </r>
  <r>
    <s v="SP059"/>
    <x v="2"/>
    <d v="2024-08-10T00:00:00"/>
    <x v="0"/>
    <s v="From pop to podcasts, it's all here."/>
    <n v="1105"/>
    <n v="181"/>
    <n v="55"/>
    <n v="53581"/>
    <n v="74048"/>
    <n v="220"/>
    <x v="1"/>
    <x v="2"/>
    <n v="2.50275284149232E-2"/>
    <n v="300"/>
  </r>
  <r>
    <s v="SP060"/>
    <x v="2"/>
    <d v="2024-04-16T00:00:00"/>
    <x v="0"/>
    <s v="Discover fresh beats on Spotify!"/>
    <n v="4674"/>
    <n v="326"/>
    <n v="62"/>
    <n v="45503"/>
    <n v="46814"/>
    <n v="116"/>
    <x v="1"/>
    <x v="2"/>
    <n v="0.11124541239039185"/>
    <n v="79"/>
  </r>
  <r>
    <s v="SP061"/>
    <x v="2"/>
    <d v="2024-01-01T00:00:00"/>
    <x v="2"/>
    <s v="Explore the latest podcasts now."/>
    <n v="3437"/>
    <n v="129"/>
    <n v="359"/>
    <n v="44558"/>
    <n v="30854"/>
    <n v="171"/>
    <x v="1"/>
    <x v="4"/>
    <n v="8.8087436599488311E-2"/>
    <n v="143"/>
  </r>
  <r>
    <s v="SP062"/>
    <x v="1"/>
    <d v="2024-11-03T00:00:00"/>
    <x v="1"/>
    <s v="Wrapped is here! Relive your top tracks "/>
    <n v="1959"/>
    <n v="316"/>
    <n v="82"/>
    <n v="54036"/>
    <n v="69015"/>
    <n v="182"/>
    <x v="2"/>
    <x v="0"/>
    <n v="4.3619068768968837E-2"/>
    <n v="270"/>
  </r>
  <r>
    <s v="SP063"/>
    <x v="1"/>
    <d v="2024-07-07T00:00:00"/>
    <x v="0"/>
    <s v="New music just dropped. Hit play!"/>
    <n v="1035"/>
    <n v="137"/>
    <n v="184"/>
    <n v="37302"/>
    <n v="68953"/>
    <n v="237"/>
    <x v="0"/>
    <x v="1"/>
    <n v="3.6351938233874857E-2"/>
    <n v="282"/>
  </r>
  <r>
    <s v="SP064"/>
    <x v="1"/>
    <d v="2025-01-22T00:00:00"/>
    <x v="1"/>
    <s v="New music just dropped. Hit play!"/>
    <n v="4478"/>
    <n v="101"/>
    <n v="121"/>
    <n v="51035"/>
    <n v="58207"/>
    <n v="205"/>
    <x v="2"/>
    <x v="0"/>
    <n v="9.2093661212893113E-2"/>
    <n v="135"/>
  </r>
  <r>
    <s v="SP065"/>
    <x v="2"/>
    <d v="2024-05-26T00:00:00"/>
    <x v="0"/>
    <s v="From pop to podcasts, it's all here."/>
    <n v="1488"/>
    <n v="327"/>
    <n v="110"/>
    <n v="53805"/>
    <n v="30239"/>
    <n v="109"/>
    <x v="1"/>
    <x v="2"/>
    <n v="3.5777344113000653E-2"/>
    <n v="285"/>
  </r>
  <r>
    <s v="SP066"/>
    <x v="0"/>
    <d v="2025-04-16T00:00:00"/>
    <x v="0"/>
    <s v="Wrapped is here! Relive your top tracks "/>
    <n v="4836"/>
    <n v="331"/>
    <n v="140"/>
    <n v="58792"/>
    <n v="47711"/>
    <n v="227"/>
    <x v="0"/>
    <x v="0"/>
    <n v="9.0267383317458164E-2"/>
    <n v="138"/>
  </r>
  <r>
    <s v="SP067"/>
    <x v="2"/>
    <d v="2024-04-02T00:00:00"/>
    <x v="2"/>
    <s v="Your weekend playlist is waiting."/>
    <n v="4563"/>
    <n v="488"/>
    <n v="356"/>
    <n v="30619"/>
    <n v="23328"/>
    <n v="267"/>
    <x v="1"/>
    <x v="4"/>
    <n v="0.17658969920637513"/>
    <n v="14"/>
  </r>
  <r>
    <s v="SP068"/>
    <x v="1"/>
    <d v="2024-03-28T00:00:00"/>
    <x v="0"/>
    <s v="Music that moves you-only on Spotify."/>
    <n v="3276"/>
    <n v="421"/>
    <n v="114"/>
    <n v="20580"/>
    <n v="30324"/>
    <n v="221"/>
    <x v="0"/>
    <x v="1"/>
    <n v="0.18517978620019437"/>
    <n v="10"/>
  </r>
  <r>
    <s v="SP069"/>
    <x v="1"/>
    <d v="2024-12-17T00:00:00"/>
    <x v="1"/>
    <s v="Music that moves you-only on Spotify."/>
    <n v="1316"/>
    <n v="472"/>
    <n v="286"/>
    <n v="44692"/>
    <n v="53343"/>
    <n v="227"/>
    <x v="1"/>
    <x v="3"/>
    <n v="4.6406515707509172E-2"/>
    <n v="263"/>
  </r>
  <r>
    <s v="SP070"/>
    <x v="1"/>
    <d v="2025-01-05T00:00:00"/>
    <x v="0"/>
    <s v="Wrapped is here! Relive your top tracks "/>
    <n v="4811"/>
    <n v="473"/>
    <n v="254"/>
    <n v="51964"/>
    <n v="68795"/>
    <n v="107"/>
    <x v="3"/>
    <x v="1"/>
    <n v="0.10657378184897237"/>
    <n v="93"/>
  </r>
  <r>
    <s v="SP071"/>
    <x v="1"/>
    <d v="2024-01-11T00:00:00"/>
    <x v="0"/>
    <s v="What's your vibe today? #SpotifyHits"/>
    <n v="4218"/>
    <n v="247"/>
    <n v="183"/>
    <n v="28914"/>
    <n v="18310"/>
    <n v="135"/>
    <x v="0"/>
    <x v="1"/>
    <n v="0.1607525766064882"/>
    <n v="28"/>
  </r>
  <r>
    <s v="SP072"/>
    <x v="0"/>
    <d v="2024-10-11T00:00:00"/>
    <x v="0"/>
    <s v="From pop to podcasts, it's all here."/>
    <n v="1360"/>
    <n v="249"/>
    <n v="52"/>
    <n v="20368"/>
    <n v="42152"/>
    <n v="193"/>
    <x v="1"/>
    <x v="1"/>
    <n v="8.1549489395129612E-2"/>
    <n v="171"/>
  </r>
  <r>
    <s v="SP073"/>
    <x v="2"/>
    <d v="2025-05-06T00:00:00"/>
    <x v="2"/>
    <s v="Discover fresh beats on Spotify!"/>
    <n v="1085"/>
    <n v="496"/>
    <n v="320"/>
    <n v="36528"/>
    <n v="38599"/>
    <n v="270"/>
    <x v="1"/>
    <x v="4"/>
    <n v="5.2042268944371438E-2"/>
    <n v="247"/>
  </r>
  <r>
    <s v="SP074"/>
    <x v="1"/>
    <d v="2024-05-19T00:00:00"/>
    <x v="1"/>
    <s v="Get into the groove with our new drop!"/>
    <n v="1763"/>
    <n v="206"/>
    <n v="187"/>
    <n v="53342"/>
    <n v="25095"/>
    <n v="88"/>
    <x v="1"/>
    <x v="3"/>
    <n v="4.0418432004799221E-2"/>
    <n v="274"/>
  </r>
  <r>
    <s v="SP075"/>
    <x v="1"/>
    <d v="2024-01-22T00:00:00"/>
    <x v="1"/>
    <s v="From pop to podcasts, it's all here."/>
    <n v="1554"/>
    <n v="455"/>
    <n v="158"/>
    <n v="41947"/>
    <n v="48578"/>
    <n v="101"/>
    <x v="0"/>
    <x v="0"/>
    <n v="5.1660428636136076E-2"/>
    <n v="252"/>
  </r>
  <r>
    <s v="SP076"/>
    <x v="0"/>
    <d v="2024-07-14T00:00:00"/>
    <x v="0"/>
    <s v="Wrapped is here! Relive your top tracks "/>
    <n v="2464"/>
    <n v="401"/>
    <n v="78"/>
    <n v="38665"/>
    <n v="73593"/>
    <n v="207"/>
    <x v="1"/>
    <x v="1"/>
    <n v="7.611534979956032E-2"/>
    <n v="186"/>
  </r>
  <r>
    <s v="SP077"/>
    <x v="1"/>
    <d v="2025-05-28T00:00:00"/>
    <x v="0"/>
    <s v="From pop to podcasts, it's all here."/>
    <n v="2418"/>
    <n v="161"/>
    <n v="360"/>
    <n v="30589"/>
    <n v="41383"/>
    <n v="88"/>
    <x v="3"/>
    <x v="1"/>
    <n v="9.6080290300434801E-2"/>
    <n v="118"/>
  </r>
  <r>
    <s v="SP078"/>
    <x v="1"/>
    <d v="2025-01-21T00:00:00"/>
    <x v="1"/>
    <s v="Discover fresh beats on Spotify!"/>
    <n v="2494"/>
    <n v="494"/>
    <n v="55"/>
    <n v="22580"/>
    <n v="22214"/>
    <n v="109"/>
    <x v="2"/>
    <x v="0"/>
    <n v="0.13476527900797167"/>
    <n v="51"/>
  </r>
  <r>
    <s v="SP079"/>
    <x v="2"/>
    <d v="2024-01-13T00:00:00"/>
    <x v="2"/>
    <s v="New music just dropped. Hit play!"/>
    <n v="4781"/>
    <n v="191"/>
    <n v="122"/>
    <n v="35535"/>
    <n v="50777"/>
    <n v="128"/>
    <x v="1"/>
    <x v="4"/>
    <n v="0.14335162515829464"/>
    <n v="44"/>
  </r>
  <r>
    <s v="SP080"/>
    <x v="0"/>
    <d v="2025-06-17T00:00:00"/>
    <x v="0"/>
    <s v="Music that moves you-only on Spotify."/>
    <n v="2284"/>
    <n v="187"/>
    <n v="260"/>
    <n v="37400"/>
    <n v="65014"/>
    <n v="157"/>
    <x v="0"/>
    <x v="0"/>
    <n v="7.3021390374331557E-2"/>
    <n v="194"/>
  </r>
  <r>
    <s v="SP081"/>
    <x v="1"/>
    <d v="2025-03-07T00:00:00"/>
    <x v="0"/>
    <s v="Get into the groove with our new drop!"/>
    <n v="4234"/>
    <n v="486"/>
    <n v="276"/>
    <n v="56623"/>
    <n v="41343"/>
    <n v="184"/>
    <x v="0"/>
    <x v="1"/>
    <n v="8.8232696960599044E-2"/>
    <n v="142"/>
  </r>
  <r>
    <s v="SP082"/>
    <x v="0"/>
    <d v="2024-08-26T00:00:00"/>
    <x v="0"/>
    <s v="Your weekend playlist is waiting."/>
    <n v="2102"/>
    <n v="181"/>
    <n v="306"/>
    <n v="43650"/>
    <n v="50079"/>
    <n v="182"/>
    <x v="1"/>
    <x v="1"/>
    <n v="5.9312714776632303E-2"/>
    <n v="226"/>
  </r>
  <r>
    <s v="SP083"/>
    <x v="1"/>
    <d v="2025-01-03T00:00:00"/>
    <x v="1"/>
    <s v="Get into the groove with our new drop!"/>
    <n v="4845"/>
    <n v="158"/>
    <n v="84"/>
    <n v="34578"/>
    <n v="51480"/>
    <n v="180"/>
    <x v="0"/>
    <x v="0"/>
    <n v="0.1471166637746544"/>
    <n v="38"/>
  </r>
  <r>
    <s v="SP084"/>
    <x v="1"/>
    <d v="2024-08-03T00:00:00"/>
    <x v="0"/>
    <s v="Your weekend playlist is waiting."/>
    <n v="4247"/>
    <n v="390"/>
    <n v="213"/>
    <n v="29785"/>
    <n v="57768"/>
    <n v="122"/>
    <x v="3"/>
    <x v="1"/>
    <n v="0.16283364109451065"/>
    <n v="24"/>
  </r>
  <r>
    <s v="SP085"/>
    <x v="0"/>
    <d v="2024-08-18T00:00:00"/>
    <x v="0"/>
    <s v="Explore the latest podcasts now."/>
    <n v="2965"/>
    <n v="328"/>
    <n v="171"/>
    <n v="57685"/>
    <n v="67536"/>
    <n v="264"/>
    <x v="0"/>
    <x v="0"/>
    <n v="6.0050273034584378E-2"/>
    <n v="223"/>
  </r>
  <r>
    <s v="SP086"/>
    <x v="1"/>
    <d v="2025-05-14T00:00:00"/>
    <x v="1"/>
    <s v="Wrapped is here! Relive your top tracks "/>
    <n v="1371"/>
    <n v="139"/>
    <n v="96"/>
    <n v="36140"/>
    <n v="39395"/>
    <n v="169"/>
    <x v="0"/>
    <x v="0"/>
    <n v="4.4438295517432211E-2"/>
    <n v="267"/>
  </r>
  <r>
    <s v="SP087"/>
    <x v="1"/>
    <d v="2024-04-23T00:00:00"/>
    <x v="1"/>
    <s v="Discover fresh beats on Spotify!"/>
    <n v="2683"/>
    <n v="496"/>
    <n v="89"/>
    <n v="53435"/>
    <n v="30334"/>
    <n v="160"/>
    <x v="0"/>
    <x v="0"/>
    <n v="6.1158416768035934E-2"/>
    <n v="220"/>
  </r>
  <r>
    <s v="SP088"/>
    <x v="1"/>
    <d v="2025-02-17T00:00:00"/>
    <x v="1"/>
    <s v="What's your vibe today? #SpotifyHits"/>
    <n v="4796"/>
    <n v="427"/>
    <n v="339"/>
    <n v="30752"/>
    <n v="33870"/>
    <n v="298"/>
    <x v="0"/>
    <x v="0"/>
    <n v="0.18086628511966701"/>
    <n v="11"/>
  </r>
  <r>
    <s v="SP089"/>
    <x v="0"/>
    <d v="2024-12-04T00:00:00"/>
    <x v="0"/>
    <s v="Wrapped is here! Relive your top tracks "/>
    <n v="2601"/>
    <n v="336"/>
    <n v="260"/>
    <n v="32368"/>
    <n v="49028"/>
    <n v="120"/>
    <x v="0"/>
    <x v="0"/>
    <n v="9.8770390509144837E-2"/>
    <n v="109"/>
  </r>
  <r>
    <s v="SP090"/>
    <x v="1"/>
    <d v="2024-07-22T00:00:00"/>
    <x v="1"/>
    <s v="Wrapped is here! Relive your top tracks "/>
    <n v="3336"/>
    <n v="229"/>
    <n v="337"/>
    <n v="22117"/>
    <n v="26205"/>
    <n v="160"/>
    <x v="2"/>
    <x v="0"/>
    <n v="0.17642537414658407"/>
    <n v="15"/>
  </r>
  <r>
    <s v="SP091"/>
    <x v="1"/>
    <d v="2025-04-27T00:00:00"/>
    <x v="0"/>
    <s v="Explore the latest podcasts now."/>
    <n v="1165"/>
    <n v="294"/>
    <n v="163"/>
    <n v="20659"/>
    <n v="45926"/>
    <n v="111"/>
    <x v="0"/>
    <x v="1"/>
    <n v="7.8512996756861422E-2"/>
    <n v="182"/>
  </r>
  <r>
    <s v="SP092"/>
    <x v="2"/>
    <d v="2024-03-25T00:00:00"/>
    <x v="2"/>
    <s v="Explore the latest podcasts now."/>
    <n v="1948"/>
    <n v="155"/>
    <n v="315"/>
    <n v="30321"/>
    <n v="57121"/>
    <n v="82"/>
    <x v="1"/>
    <x v="4"/>
    <n v="7.974671020085089E-2"/>
    <n v="181"/>
  </r>
  <r>
    <s v="SP093"/>
    <x v="0"/>
    <d v="2024-02-29T00:00:00"/>
    <x v="0"/>
    <s v="From pop to podcasts, it's all here."/>
    <n v="1100"/>
    <n v="229"/>
    <n v="312"/>
    <n v="25641"/>
    <n v="34601"/>
    <n v="169"/>
    <x v="1"/>
    <x v="1"/>
    <n v="6.3999063999063993E-2"/>
    <n v="214"/>
  </r>
  <r>
    <s v="SP094"/>
    <x v="1"/>
    <d v="2024-11-13T00:00:00"/>
    <x v="1"/>
    <s v="Top trending tracks updated daily!"/>
    <n v="4628"/>
    <n v="257"/>
    <n v="397"/>
    <n v="36686"/>
    <n v="54683"/>
    <n v="98"/>
    <x v="0"/>
    <x v="0"/>
    <n v="0.1439786294499264"/>
    <n v="43"/>
  </r>
  <r>
    <s v="SP095"/>
    <x v="0"/>
    <d v="2024-03-22T00:00:00"/>
    <x v="1"/>
    <s v="Discover fresh beats on Spotify!"/>
    <n v="2319"/>
    <n v="484"/>
    <n v="193"/>
    <n v="21202"/>
    <n v="18091"/>
    <n v="241"/>
    <x v="3"/>
    <x v="1"/>
    <n v="0.14130742382794076"/>
    <n v="45"/>
  </r>
  <r>
    <s v="SP096"/>
    <x v="1"/>
    <d v="2024-03-16T00:00:00"/>
    <x v="1"/>
    <s v="Wrapped is here! Relive your top tracks "/>
    <n v="2895"/>
    <n v="292"/>
    <n v="90"/>
    <n v="24223"/>
    <n v="54626"/>
    <n v="114"/>
    <x v="0"/>
    <x v="0"/>
    <n v="0.13528464682326713"/>
    <n v="50"/>
  </r>
  <r>
    <s v="SP097"/>
    <x v="0"/>
    <d v="2024-01-26T00:00:00"/>
    <x v="0"/>
    <s v="What's your vibe today? #SpotifyHits"/>
    <n v="3878"/>
    <n v="431"/>
    <n v="97"/>
    <n v="41763"/>
    <n v="29729"/>
    <n v="191"/>
    <x v="1"/>
    <x v="1"/>
    <n v="0.10550008380623997"/>
    <n v="96"/>
  </r>
  <r>
    <s v="SP098"/>
    <x v="1"/>
    <d v="2024-03-15T00:00:00"/>
    <x v="1"/>
    <s v="Get into the groove with our new drop!"/>
    <n v="4969"/>
    <n v="433"/>
    <n v="237"/>
    <n v="59552"/>
    <n v="23885"/>
    <n v="157"/>
    <x v="1"/>
    <x v="3"/>
    <n v="9.4690354648038683E-2"/>
    <n v="121"/>
  </r>
  <r>
    <s v="SP099"/>
    <x v="1"/>
    <d v="2024-10-15T00:00:00"/>
    <x v="0"/>
    <s v="Wrapped is here! Relive your top tracks "/>
    <n v="1984"/>
    <n v="481"/>
    <n v="356"/>
    <n v="40681"/>
    <n v="63111"/>
    <n v="258"/>
    <x v="3"/>
    <x v="1"/>
    <n v="6.934441139598338E-2"/>
    <n v="205"/>
  </r>
  <r>
    <s v="SP100"/>
    <x v="0"/>
    <d v="2024-07-21T00:00:00"/>
    <x v="0"/>
    <s v="Discover fresh beats on Spotify!"/>
    <n v="3004"/>
    <n v="415"/>
    <n v="218"/>
    <n v="36090"/>
    <n v="37073"/>
    <n v="181"/>
    <x v="1"/>
    <x v="1"/>
    <n v="0.10077583818232197"/>
    <n v="107"/>
  </r>
  <r>
    <s v="SP101"/>
    <x v="1"/>
    <d v="2024-10-12T00:00:00"/>
    <x v="0"/>
    <s v="Get into the groove with our new drop!"/>
    <n v="3169"/>
    <n v="386"/>
    <n v="175"/>
    <n v="45012"/>
    <n v="38508"/>
    <n v="218"/>
    <x v="3"/>
    <x v="1"/>
    <n v="8.2866791077934779E-2"/>
    <n v="165"/>
  </r>
  <r>
    <s v="SP102"/>
    <x v="1"/>
    <d v="2024-10-26T00:00:00"/>
    <x v="0"/>
    <s v="Discover fresh beats on Spotify!"/>
    <n v="3036"/>
    <n v="293"/>
    <n v="115"/>
    <n v="23776"/>
    <n v="46386"/>
    <n v="282"/>
    <x v="3"/>
    <x v="1"/>
    <n v="0.14485195154777927"/>
    <n v="41"/>
  </r>
  <r>
    <s v="SP103"/>
    <x v="0"/>
    <d v="2024-02-14T00:00:00"/>
    <x v="0"/>
    <s v="Music that moves you-only on Spotify."/>
    <n v="1830"/>
    <n v="112"/>
    <n v="181"/>
    <n v="31870"/>
    <n v="55742"/>
    <n v="263"/>
    <x v="0"/>
    <x v="0"/>
    <n v="6.6614370881706936E-2"/>
    <n v="208"/>
  </r>
  <r>
    <s v="SP104"/>
    <x v="1"/>
    <d v="2024-05-01T00:00:00"/>
    <x v="1"/>
    <s v="What's your vibe today? #SpotifyHits"/>
    <n v="2587"/>
    <n v="447"/>
    <n v="183"/>
    <n v="36266"/>
    <n v="32877"/>
    <n v="132"/>
    <x v="1"/>
    <x v="3"/>
    <n v="8.8705674736667947E-2"/>
    <n v="140"/>
  </r>
  <r>
    <s v="SP105"/>
    <x v="1"/>
    <d v="2024-09-18T00:00:00"/>
    <x v="0"/>
    <s v="Discover fresh beats on Spotify!"/>
    <n v="2878"/>
    <n v="265"/>
    <n v="91"/>
    <n v="52090"/>
    <n v="28924"/>
    <n v="133"/>
    <x v="3"/>
    <x v="1"/>
    <n v="6.2084853138798232E-2"/>
    <n v="218"/>
  </r>
  <r>
    <s v="SP106"/>
    <x v="1"/>
    <d v="2025-01-20T00:00:00"/>
    <x v="1"/>
    <s v="New music just dropped. Hit play!"/>
    <n v="4619"/>
    <n v="272"/>
    <n v="57"/>
    <n v="21334"/>
    <n v="46292"/>
    <n v="91"/>
    <x v="0"/>
    <x v="0"/>
    <n v="0.23193025217961938"/>
    <n v="2"/>
  </r>
  <r>
    <s v="SP107"/>
    <x v="1"/>
    <d v="2025-01-13T00:00:00"/>
    <x v="0"/>
    <s v="Music that moves you-only on Spotify."/>
    <n v="4090"/>
    <n v="209"/>
    <n v="278"/>
    <n v="52853"/>
    <n v="57084"/>
    <n v="102"/>
    <x v="0"/>
    <x v="1"/>
    <n v="8.6598679355949518E-2"/>
    <n v="149"/>
  </r>
  <r>
    <s v="SP108"/>
    <x v="2"/>
    <d v="2024-09-07T00:00:00"/>
    <x v="2"/>
    <s v="Music that moves you-only on Spotify."/>
    <n v="3882"/>
    <n v="342"/>
    <n v="374"/>
    <n v="41991"/>
    <n v="48554"/>
    <n v="118"/>
    <x v="1"/>
    <x v="4"/>
    <n v="0.10949965468790931"/>
    <n v="85"/>
  </r>
  <r>
    <s v="SP109"/>
    <x v="0"/>
    <d v="2024-11-21T00:00:00"/>
    <x v="0"/>
    <s v="Music that moves you-only on Spotify."/>
    <n v="4581"/>
    <n v="181"/>
    <n v="112"/>
    <n v="35221"/>
    <n v="28797"/>
    <n v="164"/>
    <x v="0"/>
    <x v="0"/>
    <n v="0.13838335084182732"/>
    <n v="49"/>
  </r>
  <r>
    <s v="SP110"/>
    <x v="0"/>
    <d v="2024-06-26T00:00:00"/>
    <x v="0"/>
    <s v="New music just dropped. Hit play!"/>
    <n v="3253"/>
    <n v="483"/>
    <n v="336"/>
    <n v="25397"/>
    <n v="51485"/>
    <n v="131"/>
    <x v="1"/>
    <x v="1"/>
    <n v="0.16033389770445328"/>
    <n v="29"/>
  </r>
  <r>
    <s v="SP111"/>
    <x v="2"/>
    <d v="2024-07-20T00:00:00"/>
    <x v="2"/>
    <s v="Music that moves you-only on Spotify."/>
    <n v="4955"/>
    <n v="299"/>
    <n v="345"/>
    <n v="33644"/>
    <n v="43547"/>
    <n v="194"/>
    <x v="1"/>
    <x v="4"/>
    <n v="0.16641897515158721"/>
    <n v="20"/>
  </r>
  <r>
    <s v="SP112"/>
    <x v="0"/>
    <d v="2025-02-16T00:00:00"/>
    <x v="0"/>
    <s v="Your weekend playlist is waiting."/>
    <n v="1333"/>
    <n v="286"/>
    <n v="298"/>
    <n v="36174"/>
    <n v="34517"/>
    <n v="170"/>
    <x v="0"/>
    <x v="0"/>
    <n v="5.2993862995521647E-2"/>
    <n v="243"/>
  </r>
  <r>
    <s v="SP113"/>
    <x v="0"/>
    <d v="2024-09-09T00:00:00"/>
    <x v="0"/>
    <s v="New music just dropped. Hit play!"/>
    <n v="1616"/>
    <n v="360"/>
    <n v="180"/>
    <n v="54342"/>
    <n v="18796"/>
    <n v="282"/>
    <x v="0"/>
    <x v="0"/>
    <n v="3.9674653122814763E-2"/>
    <n v="278"/>
  </r>
  <r>
    <s v="SP114"/>
    <x v="1"/>
    <d v="2024-07-16T00:00:00"/>
    <x v="0"/>
    <s v="Top trending tracks updated daily!"/>
    <n v="1803"/>
    <n v="273"/>
    <n v="287"/>
    <n v="46176"/>
    <n v="25488"/>
    <n v="141"/>
    <x v="3"/>
    <x v="1"/>
    <n v="5.1173769923769923E-2"/>
    <n v="253"/>
  </r>
  <r>
    <s v="SP115"/>
    <x v="0"/>
    <d v="2025-04-15T00:00:00"/>
    <x v="0"/>
    <s v="Explore the latest podcasts now."/>
    <n v="4177"/>
    <n v="489"/>
    <n v="331"/>
    <n v="57451"/>
    <n v="73793"/>
    <n v="251"/>
    <x v="1"/>
    <x v="1"/>
    <n v="8.6978468608031198E-2"/>
    <n v="147"/>
  </r>
  <r>
    <s v="SP116"/>
    <x v="0"/>
    <d v="2025-05-04T00:00:00"/>
    <x v="1"/>
    <s v="New music just dropped. Hit play!"/>
    <n v="1311"/>
    <n v="181"/>
    <n v="361"/>
    <n v="37148"/>
    <n v="44875"/>
    <n v="245"/>
    <x v="3"/>
    <x v="1"/>
    <n v="4.9881554861634543E-2"/>
    <n v="256"/>
  </r>
  <r>
    <s v="SP117"/>
    <x v="0"/>
    <d v="2024-02-18T00:00:00"/>
    <x v="1"/>
    <s v="From pop to podcasts, it's all here."/>
    <n v="1516"/>
    <n v="215"/>
    <n v="332"/>
    <n v="58981"/>
    <n v="36118"/>
    <n v="211"/>
    <x v="3"/>
    <x v="1"/>
    <n v="3.4977365592309385E-2"/>
    <n v="288"/>
  </r>
  <r>
    <s v="SP118"/>
    <x v="1"/>
    <d v="2024-05-16T00:00:00"/>
    <x v="1"/>
    <s v="Music that moves you-only on Spotify."/>
    <n v="2023"/>
    <n v="124"/>
    <n v="99"/>
    <n v="54524"/>
    <n v="34790"/>
    <n v="195"/>
    <x v="1"/>
    <x v="3"/>
    <n v="4.1192869195216787E-2"/>
    <n v="273"/>
  </r>
  <r>
    <s v="SP119"/>
    <x v="1"/>
    <d v="2025-05-29T00:00:00"/>
    <x v="1"/>
    <s v="Music that moves you-only on Spotify."/>
    <n v="2134"/>
    <n v="322"/>
    <n v="114"/>
    <n v="44338"/>
    <n v="52165"/>
    <n v="176"/>
    <x v="2"/>
    <x v="0"/>
    <n v="5.7963823356939871E-2"/>
    <n v="230"/>
  </r>
  <r>
    <s v="SP120"/>
    <x v="0"/>
    <d v="2025-01-17T00:00:00"/>
    <x v="0"/>
    <s v="Top trending tracks updated daily!"/>
    <n v="2266"/>
    <n v="126"/>
    <n v="140"/>
    <n v="53759"/>
    <n v="46834"/>
    <n v="277"/>
    <x v="1"/>
    <x v="1"/>
    <n v="4.7099090384865788E-2"/>
    <n v="262"/>
  </r>
  <r>
    <s v="SP121"/>
    <x v="0"/>
    <d v="2025-04-30T00:00:00"/>
    <x v="1"/>
    <s v="New music just dropped. Hit play!"/>
    <n v="3916"/>
    <n v="459"/>
    <n v="229"/>
    <n v="48989"/>
    <n v="39768"/>
    <n v="200"/>
    <x v="3"/>
    <x v="1"/>
    <n v="9.3980281287635997E-2"/>
    <n v="126"/>
  </r>
  <r>
    <s v="SP122"/>
    <x v="1"/>
    <d v="2024-02-24T00:00:00"/>
    <x v="1"/>
    <s v="Music that moves you-only on Spotify."/>
    <n v="1022"/>
    <n v="463"/>
    <n v="360"/>
    <n v="51468"/>
    <n v="24279"/>
    <n v="230"/>
    <x v="1"/>
    <x v="3"/>
    <n v="3.5847516903707161E-2"/>
    <n v="283"/>
  </r>
  <r>
    <s v="SP123"/>
    <x v="2"/>
    <d v="2024-05-12T00:00:00"/>
    <x v="0"/>
    <s v="From pop to podcasts, it's all here."/>
    <n v="2911"/>
    <n v="467"/>
    <n v="94"/>
    <n v="59083"/>
    <n v="49762"/>
    <n v="236"/>
    <x v="1"/>
    <x v="2"/>
    <n v="5.8764788517847777E-2"/>
    <n v="227"/>
  </r>
  <r>
    <s v="SP124"/>
    <x v="1"/>
    <d v="2024-05-09T00:00:00"/>
    <x v="1"/>
    <s v="New music just dropped. Hit play!"/>
    <n v="3277"/>
    <n v="423"/>
    <n v="259"/>
    <n v="46328"/>
    <n v="44293"/>
    <n v="299"/>
    <x v="0"/>
    <x v="0"/>
    <n v="8.5455879813503707E-2"/>
    <n v="154"/>
  </r>
  <r>
    <s v="SP125"/>
    <x v="1"/>
    <d v="2024-11-06T00:00:00"/>
    <x v="0"/>
    <s v="From pop to podcasts, it's all here."/>
    <n v="2956"/>
    <n v="381"/>
    <n v="345"/>
    <n v="33347"/>
    <n v="22558"/>
    <n v="173"/>
    <x v="3"/>
    <x v="1"/>
    <n v="0.11041472996071611"/>
    <n v="82"/>
  </r>
  <r>
    <s v="SP126"/>
    <x v="1"/>
    <d v="2024-01-04T00:00:00"/>
    <x v="1"/>
    <s v="What's your vibe today? #SpotifyHits"/>
    <n v="3208"/>
    <n v="476"/>
    <n v="277"/>
    <n v="56072"/>
    <n v="21061"/>
    <n v="113"/>
    <x v="2"/>
    <x v="0"/>
    <n v="7.064131830503638E-2"/>
    <n v="200"/>
  </r>
  <r>
    <s v="SP127"/>
    <x v="1"/>
    <d v="2024-01-28T00:00:00"/>
    <x v="0"/>
    <s v="Music that moves you-only on Spotify."/>
    <n v="1456"/>
    <n v="265"/>
    <n v="137"/>
    <n v="53485"/>
    <n v="59729"/>
    <n v="145"/>
    <x v="0"/>
    <x v="1"/>
    <n v="3.4738711788351875E-2"/>
    <n v="289"/>
  </r>
  <r>
    <s v="SP128"/>
    <x v="0"/>
    <d v="2024-02-22T00:00:00"/>
    <x v="0"/>
    <s v="New music just dropped. Hit play!"/>
    <n v="1902"/>
    <n v="394"/>
    <n v="279"/>
    <n v="24615"/>
    <n v="51330"/>
    <n v="176"/>
    <x v="0"/>
    <x v="0"/>
    <n v="0.10461100954702417"/>
    <n v="99"/>
  </r>
  <r>
    <s v="SP129"/>
    <x v="1"/>
    <d v="2025-07-01T00:00:00"/>
    <x v="1"/>
    <s v="Explore the latest podcasts now."/>
    <n v="3219"/>
    <n v="424"/>
    <n v="267"/>
    <n v="48879"/>
    <n v="37691"/>
    <n v="224"/>
    <x v="1"/>
    <x v="3"/>
    <n v="7.9993453221219743E-2"/>
    <n v="179"/>
  </r>
  <r>
    <s v="SP130"/>
    <x v="2"/>
    <d v="2024-01-10T00:00:00"/>
    <x v="0"/>
    <s v="Explore the latest podcasts now."/>
    <n v="1261"/>
    <n v="190"/>
    <n v="233"/>
    <n v="59888"/>
    <n v="51449"/>
    <n v="205"/>
    <x v="1"/>
    <x v="2"/>
    <n v="2.811915575741384E-2"/>
    <n v="298"/>
  </r>
  <r>
    <s v="SP131"/>
    <x v="1"/>
    <d v="2025-03-20T00:00:00"/>
    <x v="0"/>
    <s v="Your weekend playlist is waiting."/>
    <n v="1564"/>
    <n v="362"/>
    <n v="371"/>
    <n v="42075"/>
    <n v="66659"/>
    <n v="205"/>
    <x v="0"/>
    <x v="1"/>
    <n v="5.4592988710635768E-2"/>
    <n v="238"/>
  </r>
  <r>
    <s v="SP132"/>
    <x v="1"/>
    <d v="2024-09-28T00:00:00"/>
    <x v="0"/>
    <s v="What's your vibe today? #SpotifyHits"/>
    <n v="4006"/>
    <n v="420"/>
    <n v="194"/>
    <n v="49964"/>
    <n v="20685"/>
    <n v="148"/>
    <x v="3"/>
    <x v="1"/>
    <n v="9.2466575934672959E-2"/>
    <n v="132"/>
  </r>
  <r>
    <s v="SP133"/>
    <x v="2"/>
    <d v="2024-01-27T00:00:00"/>
    <x v="0"/>
    <s v="Your weekend playlist is waiting."/>
    <n v="1976"/>
    <n v="262"/>
    <n v="218"/>
    <n v="51696"/>
    <n v="44846"/>
    <n v="139"/>
    <x v="1"/>
    <x v="2"/>
    <n v="4.7508511296812134E-2"/>
    <n v="260"/>
  </r>
  <r>
    <s v="SP134"/>
    <x v="1"/>
    <d v="2025-05-15T00:00:00"/>
    <x v="0"/>
    <s v="New music just dropped. Hit play!"/>
    <n v="1583"/>
    <n v="433"/>
    <n v="249"/>
    <n v="30256"/>
    <n v="47066"/>
    <n v="196"/>
    <x v="3"/>
    <x v="1"/>
    <n v="7.4861184558434685E-2"/>
    <n v="189"/>
  </r>
  <r>
    <s v="SP135"/>
    <x v="1"/>
    <d v="2024-10-04T00:00:00"/>
    <x v="1"/>
    <s v="Explore the latest podcasts now."/>
    <n v="2870"/>
    <n v="380"/>
    <n v="393"/>
    <n v="37621"/>
    <n v="71794"/>
    <n v="127"/>
    <x v="2"/>
    <x v="0"/>
    <n v="9.6834214933149046E-2"/>
    <n v="117"/>
  </r>
  <r>
    <s v="SP136"/>
    <x v="1"/>
    <d v="2024-11-19T00:00:00"/>
    <x v="0"/>
    <s v="Top trending tracks updated daily!"/>
    <n v="3728"/>
    <n v="271"/>
    <n v="275"/>
    <n v="22827"/>
    <n v="37034"/>
    <n v="199"/>
    <x v="3"/>
    <x v="1"/>
    <n v="0.18723441538528934"/>
    <n v="9"/>
  </r>
  <r>
    <s v="SP137"/>
    <x v="1"/>
    <d v="2024-04-05T00:00:00"/>
    <x v="1"/>
    <s v="New music just dropped. Hit play!"/>
    <n v="4965"/>
    <n v="175"/>
    <n v="307"/>
    <n v="32793"/>
    <n v="43412"/>
    <n v="296"/>
    <x v="0"/>
    <x v="0"/>
    <n v="0.16610252187966945"/>
    <n v="21"/>
  </r>
  <r>
    <s v="SP138"/>
    <x v="1"/>
    <d v="2024-11-28T00:00:00"/>
    <x v="1"/>
    <s v="New music just dropped. Hit play!"/>
    <n v="1131"/>
    <n v="100"/>
    <n v="116"/>
    <n v="48437"/>
    <n v="72704"/>
    <n v="236"/>
    <x v="1"/>
    <x v="3"/>
    <n v="2.7809319322005904E-2"/>
    <n v="299"/>
  </r>
  <r>
    <s v="SP139"/>
    <x v="1"/>
    <d v="2025-03-09T00:00:00"/>
    <x v="0"/>
    <s v="Your weekend playlist is waiting."/>
    <n v="2754"/>
    <n v="215"/>
    <n v="264"/>
    <n v="27762"/>
    <n v="70203"/>
    <n v="289"/>
    <x v="3"/>
    <x v="1"/>
    <n v="0.11645414595490239"/>
    <n v="69"/>
  </r>
  <r>
    <s v="SP140"/>
    <x v="1"/>
    <d v="2024-08-27T00:00:00"/>
    <x v="1"/>
    <s v="New music just dropped. Hit play!"/>
    <n v="1856"/>
    <n v="357"/>
    <n v="348"/>
    <n v="29428"/>
    <n v="70206"/>
    <n v="236"/>
    <x v="2"/>
    <x v="0"/>
    <n v="8.702596166915863E-2"/>
    <n v="146"/>
  </r>
  <r>
    <s v="SP141"/>
    <x v="2"/>
    <d v="2024-10-01T00:00:00"/>
    <x v="2"/>
    <s v="Explore the latest podcasts now."/>
    <n v="3543"/>
    <n v="334"/>
    <n v="218"/>
    <n v="58007"/>
    <n v="24792"/>
    <n v="273"/>
    <x v="1"/>
    <x v="4"/>
    <n v="7.0594928198320889E-2"/>
    <n v="201"/>
  </r>
  <r>
    <s v="SP142"/>
    <x v="0"/>
    <d v="2024-12-21T00:00:00"/>
    <x v="1"/>
    <s v="New music just dropped. Hit play!"/>
    <n v="4563"/>
    <n v="398"/>
    <n v="163"/>
    <n v="43679"/>
    <n v="48760"/>
    <n v="92"/>
    <x v="3"/>
    <x v="1"/>
    <n v="0.11731037798484398"/>
    <n v="67"/>
  </r>
  <r>
    <s v="SP143"/>
    <x v="0"/>
    <d v="2024-06-17T00:00:00"/>
    <x v="0"/>
    <s v="Discover fresh beats on Spotify!"/>
    <n v="4283"/>
    <n v="471"/>
    <n v="156"/>
    <n v="53004"/>
    <n v="25678"/>
    <n v="105"/>
    <x v="1"/>
    <x v="1"/>
    <n v="9.2634518149573616E-2"/>
    <n v="131"/>
  </r>
  <r>
    <s v="SP144"/>
    <x v="0"/>
    <d v="2025-02-14T00:00:00"/>
    <x v="0"/>
    <s v="Discover fresh beats on Spotify!"/>
    <n v="2329"/>
    <n v="373"/>
    <n v="291"/>
    <n v="49577"/>
    <n v="28002"/>
    <n v="82"/>
    <x v="0"/>
    <x v="0"/>
    <n v="6.0370736430199488E-2"/>
    <n v="222"/>
  </r>
  <r>
    <s v="SP145"/>
    <x v="1"/>
    <d v="2025-05-28T00:00:00"/>
    <x v="1"/>
    <s v="Top trending tracks updated daily!"/>
    <n v="4287"/>
    <n v="273"/>
    <n v="122"/>
    <n v="40792"/>
    <n v="23878"/>
    <n v="277"/>
    <x v="2"/>
    <x v="0"/>
    <n v="0.11477740733477153"/>
    <n v="71"/>
  </r>
  <r>
    <s v="SP146"/>
    <x v="0"/>
    <d v="2025-05-22T00:00:00"/>
    <x v="0"/>
    <s v="Discover fresh beats on Spotify!"/>
    <n v="2633"/>
    <n v="318"/>
    <n v="380"/>
    <n v="40869"/>
    <n v="64474"/>
    <n v="245"/>
    <x v="1"/>
    <x v="1"/>
    <n v="8.1504318676747664E-2"/>
    <n v="172"/>
  </r>
  <r>
    <s v="SP147"/>
    <x v="1"/>
    <d v="2024-01-21T00:00:00"/>
    <x v="1"/>
    <s v="Discover fresh beats on Spotify!"/>
    <n v="2383"/>
    <n v="136"/>
    <n v="302"/>
    <n v="39187"/>
    <n v="22133"/>
    <n v="208"/>
    <x v="2"/>
    <x v="0"/>
    <n v="7.1988159338556151E-2"/>
    <n v="196"/>
  </r>
  <r>
    <s v="SP148"/>
    <x v="1"/>
    <d v="2025-02-08T00:00:00"/>
    <x v="1"/>
    <s v="Your weekend playlist is waiting."/>
    <n v="4752"/>
    <n v="334"/>
    <n v="56"/>
    <n v="48017"/>
    <n v="55534"/>
    <n v="270"/>
    <x v="1"/>
    <x v="3"/>
    <n v="0.10708707332819627"/>
    <n v="92"/>
  </r>
  <r>
    <s v="SP149"/>
    <x v="1"/>
    <d v="2025-04-13T00:00:00"/>
    <x v="0"/>
    <s v="From pop to podcasts, it's all here."/>
    <n v="3890"/>
    <n v="408"/>
    <n v="338"/>
    <n v="56994"/>
    <n v="32621"/>
    <n v="286"/>
    <x v="0"/>
    <x v="1"/>
    <n v="8.1341895638137346E-2"/>
    <n v="173"/>
  </r>
  <r>
    <s v="SP150"/>
    <x v="1"/>
    <d v="2024-05-30T00:00:00"/>
    <x v="1"/>
    <s v="Your weekend playlist is waiting."/>
    <n v="2311"/>
    <n v="207"/>
    <n v="363"/>
    <n v="30349"/>
    <n v="32925"/>
    <n v="88"/>
    <x v="2"/>
    <x v="0"/>
    <n v="9.4928992718046723E-2"/>
    <n v="120"/>
  </r>
  <r>
    <s v="SP151"/>
    <x v="0"/>
    <d v="2024-08-12T00:00:00"/>
    <x v="1"/>
    <s v="Discover fresh beats on Spotify!"/>
    <n v="2962"/>
    <n v="400"/>
    <n v="280"/>
    <n v="52508"/>
    <n v="58329"/>
    <n v="219"/>
    <x v="3"/>
    <x v="1"/>
    <n v="6.9360859297630834E-2"/>
    <n v="204"/>
  </r>
  <r>
    <s v="SP152"/>
    <x v="0"/>
    <d v="2024-09-27T00:00:00"/>
    <x v="0"/>
    <s v="Discover fresh beats on Spotify!"/>
    <n v="3118"/>
    <n v="116"/>
    <n v="195"/>
    <n v="37100"/>
    <n v="62629"/>
    <n v="272"/>
    <x v="1"/>
    <x v="1"/>
    <n v="9.2425876010781671E-2"/>
    <n v="133"/>
  </r>
  <r>
    <s v="SP153"/>
    <x v="1"/>
    <d v="2025-06-11T00:00:00"/>
    <x v="1"/>
    <s v="Explore the latest podcasts now."/>
    <n v="3805"/>
    <n v="453"/>
    <n v="63"/>
    <n v="52395"/>
    <n v="72934"/>
    <n v="87"/>
    <x v="1"/>
    <x v="3"/>
    <n v="8.2469701307376658E-2"/>
    <n v="168"/>
  </r>
  <r>
    <s v="SP154"/>
    <x v="0"/>
    <d v="2024-11-19T00:00:00"/>
    <x v="0"/>
    <s v="What's your vibe today? #SpotifyHits"/>
    <n v="2525"/>
    <n v="272"/>
    <n v="294"/>
    <n v="51875"/>
    <n v="24732"/>
    <n v="92"/>
    <x v="1"/>
    <x v="1"/>
    <n v="5.9585542168674697E-2"/>
    <n v="225"/>
  </r>
  <r>
    <s v="SP155"/>
    <x v="0"/>
    <d v="2024-04-25T00:00:00"/>
    <x v="0"/>
    <s v="Music that moves you-only on Spotify."/>
    <n v="3563"/>
    <n v="483"/>
    <n v="227"/>
    <n v="41085"/>
    <n v="26393"/>
    <n v="236"/>
    <x v="0"/>
    <x v="0"/>
    <n v="0.10400389436534015"/>
    <n v="100"/>
  </r>
  <r>
    <s v="SP156"/>
    <x v="2"/>
    <d v="2024-09-03T00:00:00"/>
    <x v="2"/>
    <s v="What's your vibe today? #SpotifyHits"/>
    <n v="1437"/>
    <n v="494"/>
    <n v="129"/>
    <n v="53048"/>
    <n v="44090"/>
    <n v="230"/>
    <x v="1"/>
    <x v="4"/>
    <n v="3.8832755240536872E-2"/>
    <n v="281"/>
  </r>
  <r>
    <s v="SP157"/>
    <x v="2"/>
    <d v="2025-03-02T00:00:00"/>
    <x v="0"/>
    <s v="From pop to podcasts, it's all here."/>
    <n v="4425"/>
    <n v="185"/>
    <n v="162"/>
    <n v="24610"/>
    <n v="21342"/>
    <n v="158"/>
    <x v="1"/>
    <x v="2"/>
    <n v="0.19390491670052823"/>
    <n v="7"/>
  </r>
  <r>
    <s v="SP158"/>
    <x v="1"/>
    <d v="2025-03-21T00:00:00"/>
    <x v="1"/>
    <s v="New music just dropped. Hit play!"/>
    <n v="4609"/>
    <n v="427"/>
    <n v="395"/>
    <n v="33698"/>
    <n v="29259"/>
    <n v="216"/>
    <x v="1"/>
    <x v="3"/>
    <n v="0.16116683482699271"/>
    <n v="27"/>
  </r>
  <r>
    <s v="SP159"/>
    <x v="0"/>
    <d v="2024-04-12T00:00:00"/>
    <x v="1"/>
    <s v="Get into the groove with our new drop!"/>
    <n v="1558"/>
    <n v="352"/>
    <n v="202"/>
    <n v="25405"/>
    <n v="69941"/>
    <n v="219"/>
    <x v="3"/>
    <x v="1"/>
    <n v="8.3133241487896081E-2"/>
    <n v="164"/>
  </r>
  <r>
    <s v="SP160"/>
    <x v="2"/>
    <d v="2024-02-08T00:00:00"/>
    <x v="2"/>
    <s v="Top trending tracks updated daily!"/>
    <n v="1889"/>
    <n v="298"/>
    <n v="122"/>
    <n v="46225"/>
    <n v="74305"/>
    <n v="293"/>
    <x v="1"/>
    <x v="4"/>
    <n v="4.9951325040562468E-2"/>
    <n v="255"/>
  </r>
  <r>
    <s v="SP161"/>
    <x v="0"/>
    <d v="2025-05-26T00:00:00"/>
    <x v="0"/>
    <s v="Discover fresh beats on Spotify!"/>
    <n v="3086"/>
    <n v="148"/>
    <n v="310"/>
    <n v="22824"/>
    <n v="58103"/>
    <n v="275"/>
    <x v="1"/>
    <x v="1"/>
    <n v="0.1552751489660007"/>
    <n v="32"/>
  </r>
  <r>
    <s v="SP162"/>
    <x v="0"/>
    <d v="2024-11-14T00:00:00"/>
    <x v="0"/>
    <s v="Music that moves you-only on Spotify."/>
    <n v="2422"/>
    <n v="318"/>
    <n v="118"/>
    <n v="25386"/>
    <n v="20873"/>
    <n v="100"/>
    <x v="0"/>
    <x v="0"/>
    <n v="0.11258173796580792"/>
    <n v="76"/>
  </r>
  <r>
    <s v="SP163"/>
    <x v="2"/>
    <d v="2024-08-09T00:00:00"/>
    <x v="2"/>
    <s v="From pop to podcasts, it's all here."/>
    <n v="3414"/>
    <n v="154"/>
    <n v="204"/>
    <n v="34146"/>
    <n v="44633"/>
    <n v="256"/>
    <x v="1"/>
    <x v="4"/>
    <n v="0.11046681895390383"/>
    <n v="81"/>
  </r>
  <r>
    <s v="SP164"/>
    <x v="0"/>
    <d v="2025-06-27T00:00:00"/>
    <x v="1"/>
    <s v="What's your vibe today? #SpotifyHits"/>
    <n v="1342"/>
    <n v="332"/>
    <n v="163"/>
    <n v="51712"/>
    <n v="57922"/>
    <n v="168"/>
    <x v="3"/>
    <x v="1"/>
    <n v="3.5523669554455448E-2"/>
    <n v="286"/>
  </r>
  <r>
    <s v="SP165"/>
    <x v="0"/>
    <d v="2024-05-08T00:00:00"/>
    <x v="1"/>
    <s v="Music that moves you-only on Spotify."/>
    <n v="2414"/>
    <n v="220"/>
    <n v="280"/>
    <n v="27355"/>
    <n v="50562"/>
    <n v="258"/>
    <x v="3"/>
    <x v="1"/>
    <n v="0.10652531529884847"/>
    <n v="94"/>
  </r>
  <r>
    <s v="SP166"/>
    <x v="0"/>
    <d v="2024-04-05T00:00:00"/>
    <x v="0"/>
    <s v="New music just dropped. Hit play!"/>
    <n v="4383"/>
    <n v="352"/>
    <n v="176"/>
    <n v="53239"/>
    <n v="34168"/>
    <n v="288"/>
    <x v="1"/>
    <x v="1"/>
    <n v="9.2244407295403744E-2"/>
    <n v="134"/>
  </r>
  <r>
    <s v="SP167"/>
    <x v="2"/>
    <d v="2025-01-27T00:00:00"/>
    <x v="0"/>
    <s v="Wrapped is here! Relive your top tracks "/>
    <n v="4294"/>
    <n v="423"/>
    <n v="93"/>
    <n v="29828"/>
    <n v="73144"/>
    <n v="298"/>
    <x v="1"/>
    <x v="2"/>
    <n v="0.1612578785034196"/>
    <n v="26"/>
  </r>
  <r>
    <s v="SP168"/>
    <x v="0"/>
    <d v="2024-04-03T00:00:00"/>
    <x v="0"/>
    <s v="Top trending tracks updated daily!"/>
    <n v="2762"/>
    <n v="339"/>
    <n v="323"/>
    <n v="33757"/>
    <n v="68511"/>
    <n v="121"/>
    <x v="0"/>
    <x v="0"/>
    <n v="0.10143081434961637"/>
    <n v="106"/>
  </r>
  <r>
    <s v="SP169"/>
    <x v="2"/>
    <d v="2025-01-03T00:00:00"/>
    <x v="0"/>
    <s v="New music just dropped. Hit play!"/>
    <n v="3782"/>
    <n v="484"/>
    <n v="144"/>
    <n v="52172"/>
    <n v="59386"/>
    <n v="175"/>
    <x v="1"/>
    <x v="2"/>
    <n v="8.4528099363643333E-2"/>
    <n v="157"/>
  </r>
  <r>
    <s v="SP170"/>
    <x v="1"/>
    <d v="2024-11-23T00:00:00"/>
    <x v="0"/>
    <s v="New music just dropped. Hit play!"/>
    <n v="4318"/>
    <n v="371"/>
    <n v="329"/>
    <n v="32347"/>
    <n v="68956"/>
    <n v="259"/>
    <x v="0"/>
    <x v="1"/>
    <n v="0.15513030574705536"/>
    <n v="33"/>
  </r>
  <r>
    <s v="SP171"/>
    <x v="0"/>
    <d v="2024-09-01T00:00:00"/>
    <x v="1"/>
    <s v="Wrapped is here! Relive your top tracks "/>
    <n v="2335"/>
    <n v="150"/>
    <n v="75"/>
    <n v="26114"/>
    <n v="57549"/>
    <n v="135"/>
    <x v="3"/>
    <x v="1"/>
    <n v="9.8031707130274953E-2"/>
    <n v="114"/>
  </r>
  <r>
    <s v="SP172"/>
    <x v="2"/>
    <d v="2024-04-18T00:00:00"/>
    <x v="0"/>
    <s v="Explore the latest podcasts now."/>
    <n v="4023"/>
    <n v="293"/>
    <n v="91"/>
    <n v="26795"/>
    <n v="28924"/>
    <n v="278"/>
    <x v="1"/>
    <x v="2"/>
    <n v="0.16447098339242397"/>
    <n v="23"/>
  </r>
  <r>
    <s v="SP173"/>
    <x v="0"/>
    <d v="2024-06-04T00:00:00"/>
    <x v="0"/>
    <s v="Get into the groove with our new drop!"/>
    <n v="3948"/>
    <n v="151"/>
    <n v="249"/>
    <n v="43147"/>
    <n v="63136"/>
    <n v="230"/>
    <x v="1"/>
    <x v="1"/>
    <n v="0.10077178019329269"/>
    <n v="108"/>
  </r>
  <r>
    <s v="SP174"/>
    <x v="2"/>
    <d v="2025-04-02T00:00:00"/>
    <x v="0"/>
    <s v="Wrapped is here! Relive your top tracks "/>
    <n v="4598"/>
    <n v="455"/>
    <n v="378"/>
    <n v="52952"/>
    <n v="58504"/>
    <n v="269"/>
    <x v="1"/>
    <x v="2"/>
    <n v="0.10256458679558846"/>
    <n v="103"/>
  </r>
  <r>
    <s v="SP175"/>
    <x v="1"/>
    <d v="2025-04-01T00:00:00"/>
    <x v="1"/>
    <s v="Music that moves you-only on Spotify."/>
    <n v="2665"/>
    <n v="143"/>
    <n v="315"/>
    <n v="54808"/>
    <n v="29818"/>
    <n v="98"/>
    <x v="1"/>
    <x v="3"/>
    <n v="5.6980732739746021E-2"/>
    <n v="233"/>
  </r>
  <r>
    <s v="SP176"/>
    <x v="0"/>
    <d v="2024-07-02T00:00:00"/>
    <x v="0"/>
    <s v="Top trending tracks updated daily!"/>
    <n v="3469"/>
    <n v="371"/>
    <n v="76"/>
    <n v="46493"/>
    <n v="26906"/>
    <n v="150"/>
    <x v="0"/>
    <x v="0"/>
    <n v="8.4227733207149463E-2"/>
    <n v="159"/>
  </r>
  <r>
    <s v="SP177"/>
    <x v="1"/>
    <d v="2024-11-10T00:00:00"/>
    <x v="0"/>
    <s v="Explore the latest podcasts now."/>
    <n v="4823"/>
    <n v="489"/>
    <n v="302"/>
    <n v="32470"/>
    <n v="31861"/>
    <n v="178"/>
    <x v="0"/>
    <x v="1"/>
    <n v="0.1728980597474592"/>
    <n v="16"/>
  </r>
  <r>
    <s v="SP178"/>
    <x v="0"/>
    <d v="2024-12-14T00:00:00"/>
    <x v="1"/>
    <s v="From pop to podcasts, it's all here."/>
    <n v="3812"/>
    <n v="321"/>
    <n v="289"/>
    <n v="59838"/>
    <n v="36337"/>
    <n v="161"/>
    <x v="3"/>
    <x v="1"/>
    <n v="7.3899528727564417E-2"/>
    <n v="192"/>
  </r>
  <r>
    <s v="SP179"/>
    <x v="1"/>
    <d v="2024-11-19T00:00:00"/>
    <x v="0"/>
    <s v="Explore the latest podcasts now."/>
    <n v="2387"/>
    <n v="353"/>
    <n v="78"/>
    <n v="39745"/>
    <n v="69226"/>
    <n v="208"/>
    <x v="0"/>
    <x v="1"/>
    <n v="7.090200025160398E-2"/>
    <n v="199"/>
  </r>
  <r>
    <s v="SP180"/>
    <x v="1"/>
    <d v="2025-04-30T00:00:00"/>
    <x v="1"/>
    <s v="Wrapped is here! Relive your top tracks "/>
    <n v="3929"/>
    <n v="275"/>
    <n v="330"/>
    <n v="58329"/>
    <n v="33196"/>
    <n v="85"/>
    <x v="2"/>
    <x v="0"/>
    <n v="7.7731488624869283E-2"/>
    <n v="183"/>
  </r>
  <r>
    <s v="SP181"/>
    <x v="1"/>
    <d v="2024-03-19T00:00:00"/>
    <x v="0"/>
    <s v="From pop to podcasts, it's all here."/>
    <n v="2191"/>
    <n v="288"/>
    <n v="83"/>
    <n v="59606"/>
    <n v="24765"/>
    <n v="281"/>
    <x v="0"/>
    <x v="1"/>
    <n v="4.2982250109049422E-2"/>
    <n v="272"/>
  </r>
  <r>
    <s v="SP182"/>
    <x v="0"/>
    <d v="2024-03-19T00:00:00"/>
    <x v="0"/>
    <s v="From pop to podcasts, it's all here."/>
    <n v="2878"/>
    <n v="278"/>
    <n v="255"/>
    <n v="47235"/>
    <n v="57922"/>
    <n v="112"/>
    <x v="0"/>
    <x v="0"/>
    <n v="7.2213401079707848E-2"/>
    <n v="195"/>
  </r>
  <r>
    <s v="SP183"/>
    <x v="1"/>
    <d v="2024-07-23T00:00:00"/>
    <x v="0"/>
    <s v="Top trending tracks updated daily!"/>
    <n v="3204"/>
    <n v="398"/>
    <n v="85"/>
    <n v="22020"/>
    <n v="58353"/>
    <n v="286"/>
    <x v="0"/>
    <x v="1"/>
    <n v="0.16743869209809265"/>
    <n v="19"/>
  </r>
  <r>
    <s v="SP184"/>
    <x v="1"/>
    <d v="2024-07-13T00:00:00"/>
    <x v="1"/>
    <s v="Get into the groove with our new drop!"/>
    <n v="2408"/>
    <n v="323"/>
    <n v="251"/>
    <n v="47599"/>
    <n v="35543"/>
    <n v="287"/>
    <x v="2"/>
    <x v="0"/>
    <n v="6.2648374965860634E-2"/>
    <n v="217"/>
  </r>
  <r>
    <s v="SP185"/>
    <x v="2"/>
    <d v="2025-04-22T00:00:00"/>
    <x v="2"/>
    <s v="New music just dropped. Hit play!"/>
    <n v="2733"/>
    <n v="297"/>
    <n v="235"/>
    <n v="37980"/>
    <n v="33058"/>
    <n v="219"/>
    <x v="1"/>
    <x v="4"/>
    <n v="8.5966298051606105E-2"/>
    <n v="152"/>
  </r>
  <r>
    <s v="SP186"/>
    <x v="1"/>
    <d v="2024-06-16T00:00:00"/>
    <x v="1"/>
    <s v="Explore the latest podcasts now."/>
    <n v="4618"/>
    <n v="312"/>
    <n v="254"/>
    <n v="22571"/>
    <n v="29453"/>
    <n v="197"/>
    <x v="2"/>
    <x v="0"/>
    <n v="0.22967524699836073"/>
    <n v="3"/>
  </r>
  <r>
    <s v="SP187"/>
    <x v="2"/>
    <d v="2025-05-18T00:00:00"/>
    <x v="2"/>
    <s v="Wrapped is here! Relive your top tracks "/>
    <n v="4210"/>
    <n v="319"/>
    <n v="350"/>
    <n v="37762"/>
    <n v="55162"/>
    <n v="204"/>
    <x v="1"/>
    <x v="4"/>
    <n v="0.12920396165457337"/>
    <n v="58"/>
  </r>
  <r>
    <s v="SP188"/>
    <x v="0"/>
    <d v="2025-06-06T00:00:00"/>
    <x v="0"/>
    <s v="Wrapped is here! Relive your top tracks "/>
    <n v="3987"/>
    <n v="171"/>
    <n v="274"/>
    <n v="45122"/>
    <n v="65431"/>
    <n v="168"/>
    <x v="1"/>
    <x v="1"/>
    <n v="9.8222596516111871E-2"/>
    <n v="111"/>
  </r>
  <r>
    <s v="SP189"/>
    <x v="2"/>
    <d v="2025-02-20T00:00:00"/>
    <x v="2"/>
    <s v="Get into the groove with our new drop!"/>
    <n v="4957"/>
    <n v="262"/>
    <n v="365"/>
    <n v="49199"/>
    <n v="40314"/>
    <n v="216"/>
    <x v="1"/>
    <x v="4"/>
    <n v="0.11349824183418362"/>
    <n v="74"/>
  </r>
  <r>
    <s v="SP190"/>
    <x v="0"/>
    <d v="2025-01-16T00:00:00"/>
    <x v="0"/>
    <s v="Music that moves you-only on Spotify."/>
    <n v="2605"/>
    <n v="282"/>
    <n v="148"/>
    <n v="32201"/>
    <n v="49583"/>
    <n v="241"/>
    <x v="0"/>
    <x v="0"/>
    <n v="9.4251731312692155E-2"/>
    <n v="124"/>
  </r>
  <r>
    <s v="SP191"/>
    <x v="2"/>
    <d v="2024-02-24T00:00:00"/>
    <x v="2"/>
    <s v="Discover fresh beats on Spotify!"/>
    <n v="4221"/>
    <n v="307"/>
    <n v="58"/>
    <n v="45080"/>
    <n v="37214"/>
    <n v="240"/>
    <x v="1"/>
    <x v="4"/>
    <n v="0.10173025732031943"/>
    <n v="105"/>
  </r>
  <r>
    <s v="SP192"/>
    <x v="1"/>
    <d v="2024-09-16T00:00:00"/>
    <x v="1"/>
    <s v="What's your vibe today? #SpotifyHits"/>
    <n v="4422"/>
    <n v="434"/>
    <n v="156"/>
    <n v="56165"/>
    <n v="52431"/>
    <n v="173"/>
    <x v="1"/>
    <x v="3"/>
    <n v="8.9237069349238848E-2"/>
    <n v="139"/>
  </r>
  <r>
    <s v="SP193"/>
    <x v="2"/>
    <d v="2024-06-04T00:00:00"/>
    <x v="2"/>
    <s v="Wrapped is here! Relive your top tracks "/>
    <n v="1211"/>
    <n v="431"/>
    <n v="83"/>
    <n v="26532"/>
    <n v="47305"/>
    <n v="232"/>
    <x v="1"/>
    <x v="4"/>
    <n v="6.5015829941203071E-2"/>
    <n v="211"/>
  </r>
  <r>
    <s v="SP194"/>
    <x v="1"/>
    <d v="2024-05-10T00:00:00"/>
    <x v="1"/>
    <s v="Explore the latest podcasts now."/>
    <n v="2784"/>
    <n v="111"/>
    <n v="399"/>
    <n v="58366"/>
    <n v="69512"/>
    <n v="269"/>
    <x v="2"/>
    <x v="0"/>
    <n v="5.6436966727204191E-2"/>
    <n v="234"/>
  </r>
  <r>
    <s v="SP195"/>
    <x v="2"/>
    <d v="2024-01-14T00:00:00"/>
    <x v="0"/>
    <s v="New music just dropped. Hit play!"/>
    <n v="3634"/>
    <n v="280"/>
    <n v="399"/>
    <n v="40256"/>
    <n v="52605"/>
    <n v="213"/>
    <x v="1"/>
    <x v="2"/>
    <n v="0.10713930842607314"/>
    <n v="91"/>
  </r>
  <r>
    <s v="SP196"/>
    <x v="0"/>
    <d v="2025-01-12T00:00:00"/>
    <x v="0"/>
    <s v="From pop to podcasts, it's all here."/>
    <n v="1771"/>
    <n v="487"/>
    <n v="272"/>
    <n v="48810"/>
    <n v="48084"/>
    <n v="272"/>
    <x v="0"/>
    <x v="0"/>
    <n v="5.1833640647408315E-2"/>
    <n v="250"/>
  </r>
  <r>
    <s v="SP197"/>
    <x v="2"/>
    <d v="2024-12-08T00:00:00"/>
    <x v="0"/>
    <s v="Top trending tracks updated daily!"/>
    <n v="1424"/>
    <n v="396"/>
    <n v="312"/>
    <n v="59517"/>
    <n v="46102"/>
    <n v="239"/>
    <x v="1"/>
    <x v="2"/>
    <n v="3.5821698002251455E-2"/>
    <n v="284"/>
  </r>
  <r>
    <s v="SP198"/>
    <x v="1"/>
    <d v="2025-02-01T00:00:00"/>
    <x v="1"/>
    <s v="Top trending tracks updated daily!"/>
    <n v="1079"/>
    <n v="265"/>
    <n v="190"/>
    <n v="43786"/>
    <n v="72428"/>
    <n v="222"/>
    <x v="0"/>
    <x v="0"/>
    <n v="3.5034029141734799E-2"/>
    <n v="287"/>
  </r>
  <r>
    <s v="SP199"/>
    <x v="1"/>
    <d v="2024-07-11T00:00:00"/>
    <x v="1"/>
    <s v="Get into the groove with our new drop!"/>
    <n v="4247"/>
    <n v="179"/>
    <n v="175"/>
    <n v="32991"/>
    <n v="70120"/>
    <n v="276"/>
    <x v="0"/>
    <x v="0"/>
    <n v="0.13946227759085811"/>
    <n v="47"/>
  </r>
  <r>
    <s v="SP200"/>
    <x v="1"/>
    <d v="2024-03-18T00:00:00"/>
    <x v="0"/>
    <s v="New music just dropped. Hit play!"/>
    <n v="2033"/>
    <n v="420"/>
    <n v="94"/>
    <n v="56290"/>
    <n v="57391"/>
    <n v="196"/>
    <x v="3"/>
    <x v="1"/>
    <n v="4.5247823769763724E-2"/>
    <n v="265"/>
  </r>
  <r>
    <s v="SP201"/>
    <x v="1"/>
    <d v="2024-09-12T00:00:00"/>
    <x v="1"/>
    <s v="Wrapped is here! Relive your top tracks "/>
    <n v="1839"/>
    <n v="223"/>
    <n v="171"/>
    <n v="35459"/>
    <n v="69988"/>
    <n v="114"/>
    <x v="2"/>
    <x v="0"/>
    <n v="6.2974139146620034E-2"/>
    <n v="216"/>
  </r>
  <r>
    <s v="SP202"/>
    <x v="1"/>
    <d v="2024-01-11T00:00:00"/>
    <x v="1"/>
    <s v="Wrapped is here! Relive your top tracks "/>
    <n v="2340"/>
    <n v="141"/>
    <n v="206"/>
    <n v="24916"/>
    <n v="30582"/>
    <n v="157"/>
    <x v="0"/>
    <x v="0"/>
    <n v="0.10784235029699792"/>
    <n v="88"/>
  </r>
  <r>
    <s v="SP203"/>
    <x v="0"/>
    <d v="2024-10-06T00:00:00"/>
    <x v="0"/>
    <s v="Top trending tracks updated daily!"/>
    <n v="2080"/>
    <n v="389"/>
    <n v="92"/>
    <n v="30971"/>
    <n v="25347"/>
    <n v="111"/>
    <x v="1"/>
    <x v="1"/>
    <n v="8.2690258629040073E-2"/>
    <n v="167"/>
  </r>
  <r>
    <s v="SP204"/>
    <x v="1"/>
    <d v="2024-12-30T00:00:00"/>
    <x v="0"/>
    <s v="Get into the groove with our new drop!"/>
    <n v="4214"/>
    <n v="286"/>
    <n v="127"/>
    <n v="47293"/>
    <n v="27184"/>
    <n v="232"/>
    <x v="3"/>
    <x v="1"/>
    <n v="9.7836889180216949E-2"/>
    <n v="115"/>
  </r>
  <r>
    <s v="SP205"/>
    <x v="1"/>
    <d v="2025-04-16T00:00:00"/>
    <x v="0"/>
    <s v="Wrapped is here! Relive your top tracks "/>
    <n v="3792"/>
    <n v="315"/>
    <n v="120"/>
    <n v="54592"/>
    <n v="67886"/>
    <n v="117"/>
    <x v="0"/>
    <x v="1"/>
    <n v="7.7428927315357568E-2"/>
    <n v="184"/>
  </r>
  <r>
    <s v="SP206"/>
    <x v="1"/>
    <d v="2024-08-21T00:00:00"/>
    <x v="1"/>
    <s v="Explore the latest podcasts now."/>
    <n v="3989"/>
    <n v="476"/>
    <n v="128"/>
    <n v="57569"/>
    <n v="40193"/>
    <n v="222"/>
    <x v="1"/>
    <x v="3"/>
    <n v="7.9782521843353188E-2"/>
    <n v="180"/>
  </r>
  <r>
    <s v="SP207"/>
    <x v="1"/>
    <d v="2024-04-05T00:00:00"/>
    <x v="1"/>
    <s v="Wrapped is here! Relive your top tracks "/>
    <n v="2857"/>
    <n v="443"/>
    <n v="359"/>
    <n v="51519"/>
    <n v="28256"/>
    <n v="155"/>
    <x v="0"/>
    <x v="0"/>
    <n v="7.1022341272152026E-2"/>
    <n v="198"/>
  </r>
  <r>
    <s v="SP208"/>
    <x v="1"/>
    <d v="2025-04-07T00:00:00"/>
    <x v="0"/>
    <s v="From pop to podcasts, it's all here."/>
    <n v="1403"/>
    <n v="385"/>
    <n v="344"/>
    <n v="54223"/>
    <n v="72595"/>
    <n v="239"/>
    <x v="0"/>
    <x v="1"/>
    <n v="3.9319108127547353E-2"/>
    <n v="279"/>
  </r>
  <r>
    <s v="SP209"/>
    <x v="1"/>
    <d v="2024-07-19T00:00:00"/>
    <x v="1"/>
    <s v="What's your vibe today? #SpotifyHits"/>
    <n v="3071"/>
    <n v="126"/>
    <n v="200"/>
    <n v="44013"/>
    <n v="44679"/>
    <n v="118"/>
    <x v="1"/>
    <x v="3"/>
    <n v="7.7181741758116915E-2"/>
    <n v="185"/>
  </r>
  <r>
    <s v="SP210"/>
    <x v="1"/>
    <d v="2025-05-03T00:00:00"/>
    <x v="1"/>
    <s v="Top trending tracks updated daily!"/>
    <n v="1010"/>
    <n v="361"/>
    <n v="240"/>
    <n v="47229"/>
    <n v="72573"/>
    <n v="275"/>
    <x v="0"/>
    <x v="0"/>
    <n v="3.4110398272247981E-2"/>
    <n v="291"/>
  </r>
  <r>
    <s v="SP211"/>
    <x v="1"/>
    <d v="2024-04-14T00:00:00"/>
    <x v="1"/>
    <s v="Discover fresh beats on Spotify!"/>
    <n v="1295"/>
    <n v="153"/>
    <n v="81"/>
    <n v="48350"/>
    <n v="61033"/>
    <n v="232"/>
    <x v="1"/>
    <x v="3"/>
    <n v="3.1623578076525334E-2"/>
    <n v="296"/>
  </r>
  <r>
    <s v="SP212"/>
    <x v="1"/>
    <d v="2025-06-19T00:00:00"/>
    <x v="1"/>
    <s v="What's your vibe today? #SpotifyHits"/>
    <n v="1433"/>
    <n v="452"/>
    <n v="305"/>
    <n v="54541"/>
    <n v="63700"/>
    <n v="296"/>
    <x v="1"/>
    <x v="3"/>
    <n v="4.0153279184466734E-2"/>
    <n v="275"/>
  </r>
  <r>
    <s v="SP213"/>
    <x v="0"/>
    <d v="2025-06-24T00:00:00"/>
    <x v="1"/>
    <s v="Get into the groove with our new drop!"/>
    <n v="4902"/>
    <n v="422"/>
    <n v="376"/>
    <n v="31674"/>
    <n v="53225"/>
    <n v="147"/>
    <x v="3"/>
    <x v="1"/>
    <n v="0.17995832544042431"/>
    <n v="12"/>
  </r>
  <r>
    <s v="SP214"/>
    <x v="1"/>
    <d v="2024-10-09T00:00:00"/>
    <x v="0"/>
    <s v="Wrapped is here! Relive your top tracks "/>
    <n v="2659"/>
    <n v="167"/>
    <n v="73"/>
    <n v="23090"/>
    <n v="25872"/>
    <n v="293"/>
    <x v="0"/>
    <x v="1"/>
    <n v="0.12555218709398008"/>
    <n v="60"/>
  </r>
  <r>
    <s v="SP215"/>
    <x v="2"/>
    <d v="2025-01-15T00:00:00"/>
    <x v="0"/>
    <s v="Your weekend playlist is waiting."/>
    <n v="2599"/>
    <n v="324"/>
    <n v="182"/>
    <n v="37525"/>
    <n v="37216"/>
    <n v="186"/>
    <x v="1"/>
    <x v="2"/>
    <n v="8.2744836775483013E-2"/>
    <n v="166"/>
  </r>
  <r>
    <s v="SP216"/>
    <x v="1"/>
    <d v="2025-01-12T00:00:00"/>
    <x v="0"/>
    <s v="Music that moves you-only on Spotify."/>
    <n v="1765"/>
    <n v="285"/>
    <n v="100"/>
    <n v="41313"/>
    <n v="56575"/>
    <n v="174"/>
    <x v="0"/>
    <x v="1"/>
    <n v="5.2041730205988429E-2"/>
    <n v="248"/>
  </r>
  <r>
    <s v="SP217"/>
    <x v="0"/>
    <d v="2025-05-31T00:00:00"/>
    <x v="0"/>
    <s v="What's your vibe today? #SpotifyHits"/>
    <n v="2169"/>
    <n v="240"/>
    <n v="57"/>
    <n v="26109"/>
    <n v="46667"/>
    <n v="133"/>
    <x v="0"/>
    <x v="0"/>
    <n v="9.4450189589796618E-2"/>
    <n v="122"/>
  </r>
  <r>
    <s v="SP218"/>
    <x v="1"/>
    <d v="2024-10-14T00:00:00"/>
    <x v="1"/>
    <s v="Explore the latest podcasts now."/>
    <n v="4303"/>
    <n v="306"/>
    <n v="302"/>
    <n v="39575"/>
    <n v="33762"/>
    <n v="265"/>
    <x v="1"/>
    <x v="3"/>
    <n v="0.12409349336702463"/>
    <n v="61"/>
  </r>
  <r>
    <s v="SP219"/>
    <x v="1"/>
    <d v="2024-02-10T00:00:00"/>
    <x v="0"/>
    <s v="From pop to podcasts, it's all here."/>
    <n v="1519"/>
    <n v="456"/>
    <n v="379"/>
    <n v="51611"/>
    <n v="45880"/>
    <n v="176"/>
    <x v="0"/>
    <x v="1"/>
    <n v="4.5610431884675749E-2"/>
    <n v="264"/>
  </r>
  <r>
    <s v="SP220"/>
    <x v="2"/>
    <d v="2024-12-10T00:00:00"/>
    <x v="0"/>
    <s v="What's your vibe today? #SpotifyHits"/>
    <n v="2569"/>
    <n v="140"/>
    <n v="375"/>
    <n v="38372"/>
    <n v="22102"/>
    <n v="255"/>
    <x v="1"/>
    <x v="2"/>
    <n v="8.0371103929948923E-2"/>
    <n v="177"/>
  </r>
  <r>
    <s v="SP221"/>
    <x v="1"/>
    <d v="2025-05-09T00:00:00"/>
    <x v="1"/>
    <s v="Music that moves you-only on Spotify."/>
    <n v="2778"/>
    <n v="241"/>
    <n v="317"/>
    <n v="26247"/>
    <n v="20677"/>
    <n v="282"/>
    <x v="2"/>
    <x v="0"/>
    <n v="0.1271002400274317"/>
    <n v="59"/>
  </r>
  <r>
    <s v="SP222"/>
    <x v="1"/>
    <d v="2025-06-21T00:00:00"/>
    <x v="0"/>
    <s v="Explore the latest podcasts now."/>
    <n v="3611"/>
    <n v="127"/>
    <n v="139"/>
    <n v="44768"/>
    <n v="29435"/>
    <n v="178"/>
    <x v="3"/>
    <x v="1"/>
    <n v="8.6602037169406718E-2"/>
    <n v="148"/>
  </r>
  <r>
    <s v="SP223"/>
    <x v="1"/>
    <d v="2024-06-19T00:00:00"/>
    <x v="0"/>
    <s v="What's your vibe today? #SpotifyHits"/>
    <n v="1224"/>
    <n v="168"/>
    <n v="199"/>
    <n v="54232"/>
    <n v="52844"/>
    <n v="271"/>
    <x v="0"/>
    <x v="1"/>
    <n v="2.9336922849977874E-2"/>
    <n v="297"/>
  </r>
  <r>
    <s v="SP224"/>
    <x v="1"/>
    <d v="2024-12-10T00:00:00"/>
    <x v="0"/>
    <s v="From pop to podcasts, it's all here."/>
    <n v="4673"/>
    <n v="270"/>
    <n v="93"/>
    <n v="45260"/>
    <n v="57513"/>
    <n v="103"/>
    <x v="3"/>
    <x v="1"/>
    <n v="0.11126822801590809"/>
    <n v="78"/>
  </r>
  <r>
    <s v="SP225"/>
    <x v="2"/>
    <d v="2024-02-01T00:00:00"/>
    <x v="0"/>
    <s v="Wrapped is here! Relive your top tracks "/>
    <n v="1432"/>
    <n v="437"/>
    <n v="267"/>
    <n v="40634"/>
    <n v="54511"/>
    <n v="197"/>
    <x v="1"/>
    <x v="2"/>
    <n v="5.2566815966924252E-2"/>
    <n v="244"/>
  </r>
  <r>
    <s v="SP226"/>
    <x v="1"/>
    <d v="2024-01-17T00:00:00"/>
    <x v="1"/>
    <s v="New music just dropped. Hit play!"/>
    <n v="2174"/>
    <n v="499"/>
    <n v="212"/>
    <n v="54938"/>
    <n v="27190"/>
    <n v="265"/>
    <x v="2"/>
    <x v="0"/>
    <n v="5.2513742764570971E-2"/>
    <n v="245"/>
  </r>
  <r>
    <s v="SP227"/>
    <x v="2"/>
    <d v="2025-03-22T00:00:00"/>
    <x v="0"/>
    <s v="Music that moves you-only on Spotify."/>
    <n v="4308"/>
    <n v="171"/>
    <n v="106"/>
    <n v="36955"/>
    <n v="23949"/>
    <n v="294"/>
    <x v="1"/>
    <x v="2"/>
    <n v="0.12406981463942633"/>
    <n v="62"/>
  </r>
  <r>
    <s v="SP228"/>
    <x v="2"/>
    <d v="2024-05-30T00:00:00"/>
    <x v="2"/>
    <s v="What's your vibe today? #SpotifyHits"/>
    <n v="1060"/>
    <n v="442"/>
    <n v="319"/>
    <n v="57194"/>
    <n v="24258"/>
    <n v="101"/>
    <x v="1"/>
    <x v="4"/>
    <n v="3.1839004091338254E-2"/>
    <n v="295"/>
  </r>
  <r>
    <s v="SP229"/>
    <x v="2"/>
    <d v="2024-02-24T00:00:00"/>
    <x v="0"/>
    <s v="Music that moves you-only on Spotify."/>
    <n v="4653"/>
    <n v="226"/>
    <n v="349"/>
    <n v="56876"/>
    <n v="28452"/>
    <n v="257"/>
    <x v="1"/>
    <x v="2"/>
    <n v="9.191926295801392E-2"/>
    <n v="136"/>
  </r>
  <r>
    <s v="SP230"/>
    <x v="2"/>
    <d v="2025-05-14T00:00:00"/>
    <x v="0"/>
    <s v="Discover fresh beats on Spotify!"/>
    <n v="1701"/>
    <n v="272"/>
    <n v="385"/>
    <n v="47496"/>
    <n v="40832"/>
    <n v="246"/>
    <x v="1"/>
    <x v="2"/>
    <n v="4.9646286003031836E-2"/>
    <n v="257"/>
  </r>
  <r>
    <s v="SP231"/>
    <x v="0"/>
    <d v="2024-03-28T00:00:00"/>
    <x v="0"/>
    <s v="What's your vibe today? #SpotifyHits"/>
    <n v="1673"/>
    <n v="280"/>
    <n v="67"/>
    <n v="29847"/>
    <n v="48016"/>
    <n v="213"/>
    <x v="0"/>
    <x v="0"/>
    <n v="6.76784936509532E-2"/>
    <n v="207"/>
  </r>
  <r>
    <s v="SP232"/>
    <x v="2"/>
    <d v="2025-03-07T00:00:00"/>
    <x v="0"/>
    <s v="Top trending tracks updated daily!"/>
    <n v="4310"/>
    <n v="284"/>
    <n v="306"/>
    <n v="44606"/>
    <n v="42604"/>
    <n v="290"/>
    <x v="1"/>
    <x v="2"/>
    <n v="0.10985069273191947"/>
    <n v="84"/>
  </r>
  <r>
    <s v="SP233"/>
    <x v="1"/>
    <d v="2024-10-20T00:00:00"/>
    <x v="0"/>
    <s v="From pop to podcasts, it's all here."/>
    <n v="2752"/>
    <n v="309"/>
    <n v="91"/>
    <n v="39038"/>
    <n v="28095"/>
    <n v="277"/>
    <x v="3"/>
    <x v="1"/>
    <n v="8.0741841282852611E-2"/>
    <n v="175"/>
  </r>
  <r>
    <s v="SP234"/>
    <x v="1"/>
    <d v="2024-02-02T00:00:00"/>
    <x v="0"/>
    <s v="From pop to podcasts, it's all here."/>
    <n v="3818"/>
    <n v="115"/>
    <n v="286"/>
    <n v="25127"/>
    <n v="22277"/>
    <n v="263"/>
    <x v="3"/>
    <x v="1"/>
    <n v="0.16790703227603773"/>
    <n v="18"/>
  </r>
  <r>
    <s v="SP235"/>
    <x v="2"/>
    <d v="2024-09-07T00:00:00"/>
    <x v="0"/>
    <s v="Your weekend playlist is waiting."/>
    <n v="2101"/>
    <n v="411"/>
    <n v="190"/>
    <n v="41791"/>
    <n v="57090"/>
    <n v="172"/>
    <x v="1"/>
    <x v="2"/>
    <n v="6.4655069273288512E-2"/>
    <n v="212"/>
  </r>
  <r>
    <s v="SP236"/>
    <x v="0"/>
    <d v="2024-12-20T00:00:00"/>
    <x v="0"/>
    <s v="Discover fresh beats on Spotify!"/>
    <n v="2519"/>
    <n v="202"/>
    <n v="239"/>
    <n v="36245"/>
    <n v="48606"/>
    <n v="145"/>
    <x v="1"/>
    <x v="1"/>
    <n v="8.1666436749896543E-2"/>
    <n v="170"/>
  </r>
  <r>
    <s v="SP237"/>
    <x v="2"/>
    <d v="2024-01-14T00:00:00"/>
    <x v="0"/>
    <s v="What's your vibe today? #SpotifyHits"/>
    <n v="4502"/>
    <n v="238"/>
    <n v="386"/>
    <n v="39198"/>
    <n v="25050"/>
    <n v="297"/>
    <x v="1"/>
    <x v="2"/>
    <n v="0.13077197816215114"/>
    <n v="55"/>
  </r>
  <r>
    <s v="SP238"/>
    <x v="0"/>
    <d v="2025-06-15T00:00:00"/>
    <x v="0"/>
    <s v="Explore the latest podcasts now."/>
    <n v="2478"/>
    <n v="427"/>
    <n v="242"/>
    <n v="59272"/>
    <n v="37833"/>
    <n v="214"/>
    <x v="0"/>
    <x v="0"/>
    <n v="5.3094209744904843E-2"/>
    <n v="242"/>
  </r>
  <r>
    <s v="SP239"/>
    <x v="1"/>
    <d v="2024-12-13T00:00:00"/>
    <x v="1"/>
    <s v="New music just dropped. Hit play!"/>
    <n v="4984"/>
    <n v="300"/>
    <n v="338"/>
    <n v="32900"/>
    <n v="31691"/>
    <n v="160"/>
    <x v="2"/>
    <x v="0"/>
    <n v="0.17088145896656534"/>
    <n v="17"/>
  </r>
  <r>
    <s v="SP240"/>
    <x v="2"/>
    <d v="2024-08-29T00:00:00"/>
    <x v="0"/>
    <s v="Wrapped is here! Relive your top tracks "/>
    <n v="4774"/>
    <n v="389"/>
    <n v="358"/>
    <n v="52346"/>
    <n v="30518"/>
    <n v="277"/>
    <x v="1"/>
    <x v="2"/>
    <n v="0.10547128720437092"/>
    <n v="97"/>
  </r>
  <r>
    <s v="SP241"/>
    <x v="1"/>
    <d v="2024-09-15T00:00:00"/>
    <x v="0"/>
    <s v="Get into the groove with our new drop!"/>
    <n v="2145"/>
    <n v="340"/>
    <n v="85"/>
    <n v="53323"/>
    <n v="49938"/>
    <n v="104"/>
    <x v="3"/>
    <x v="1"/>
    <n v="4.819683813738912E-2"/>
    <n v="258"/>
  </r>
  <r>
    <s v="SP242"/>
    <x v="1"/>
    <d v="2025-04-12T00:00:00"/>
    <x v="1"/>
    <s v="From pop to podcasts, it's all here."/>
    <n v="4315"/>
    <n v="208"/>
    <n v="273"/>
    <n v="35780"/>
    <n v="44349"/>
    <n v="133"/>
    <x v="1"/>
    <x v="3"/>
    <n v="0.13404136389044158"/>
    <n v="52"/>
  </r>
  <r>
    <s v="SP243"/>
    <x v="1"/>
    <d v="2024-12-10T00:00:00"/>
    <x v="1"/>
    <s v="Wrapped is here! Relive your top tracks "/>
    <n v="2267"/>
    <n v="230"/>
    <n v="243"/>
    <n v="27904"/>
    <n v="69771"/>
    <n v="255"/>
    <x v="1"/>
    <x v="3"/>
    <n v="9.8193807339449546E-2"/>
    <n v="112"/>
  </r>
  <r>
    <s v="SP244"/>
    <x v="2"/>
    <d v="2025-06-08T00:00:00"/>
    <x v="0"/>
    <s v="Music that moves you-only on Spotify."/>
    <n v="4375"/>
    <n v="303"/>
    <n v="294"/>
    <n v="57468"/>
    <n v="53397"/>
    <n v="159"/>
    <x v="1"/>
    <x v="2"/>
    <n v="8.6517714206166912E-2"/>
    <n v="150"/>
  </r>
  <r>
    <s v="SP245"/>
    <x v="1"/>
    <d v="2025-01-09T00:00:00"/>
    <x v="1"/>
    <s v="Your weekend playlist is waiting."/>
    <n v="3817"/>
    <n v="284"/>
    <n v="204"/>
    <n v="46434"/>
    <n v="53396"/>
    <n v="104"/>
    <x v="2"/>
    <x v="0"/>
    <n v="9.2712236723090841E-2"/>
    <n v="130"/>
  </r>
  <r>
    <s v="SP246"/>
    <x v="1"/>
    <d v="2024-07-08T00:00:00"/>
    <x v="1"/>
    <s v="Top trending tracks updated daily!"/>
    <n v="2981"/>
    <n v="258"/>
    <n v="168"/>
    <n v="20677"/>
    <n v="68290"/>
    <n v="130"/>
    <x v="0"/>
    <x v="0"/>
    <n v="0.16477245248343569"/>
    <n v="22"/>
  </r>
  <r>
    <s v="SP247"/>
    <x v="1"/>
    <d v="2024-09-16T00:00:00"/>
    <x v="1"/>
    <s v="Your weekend playlist is waiting."/>
    <n v="3300"/>
    <n v="354"/>
    <n v="397"/>
    <n v="56773"/>
    <n v="72110"/>
    <n v="163"/>
    <x v="1"/>
    <x v="3"/>
    <n v="7.1354340971940891E-2"/>
    <n v="197"/>
  </r>
  <r>
    <s v="SP248"/>
    <x v="2"/>
    <d v="2024-06-14T00:00:00"/>
    <x v="2"/>
    <s v="Wrapped is here! Relive your top tracks "/>
    <n v="4722"/>
    <n v="310"/>
    <n v="344"/>
    <n v="27911"/>
    <n v="19000"/>
    <n v="225"/>
    <x v="1"/>
    <x v="4"/>
    <n v="0.19261223173659131"/>
    <n v="8"/>
  </r>
  <r>
    <s v="SP249"/>
    <x v="0"/>
    <d v="2024-03-06T00:00:00"/>
    <x v="0"/>
    <s v="What's your vibe today? #SpotifyHits"/>
    <n v="3529"/>
    <n v="263"/>
    <n v="107"/>
    <n v="26570"/>
    <n v="19367"/>
    <n v="96"/>
    <x v="1"/>
    <x v="1"/>
    <n v="0.14674444862627023"/>
    <n v="39"/>
  </r>
  <r>
    <s v="SP250"/>
    <x v="1"/>
    <d v="2025-05-15T00:00:00"/>
    <x v="0"/>
    <s v="Your weekend playlist is waiting."/>
    <n v="4782"/>
    <n v="210"/>
    <n v="311"/>
    <n v="29793"/>
    <n v="37543"/>
    <n v="145"/>
    <x v="3"/>
    <x v="1"/>
    <n v="0.17799483100057059"/>
    <n v="13"/>
  </r>
  <r>
    <s v="SP251"/>
    <x v="1"/>
    <d v="2024-07-07T00:00:00"/>
    <x v="0"/>
    <s v="What's your vibe today? #SpotifyHits"/>
    <n v="1848"/>
    <n v="417"/>
    <n v="294"/>
    <n v="57819"/>
    <n v="19798"/>
    <n v="262"/>
    <x v="0"/>
    <x v="1"/>
    <n v="4.4258807658382193E-2"/>
    <n v="269"/>
  </r>
  <r>
    <s v="SP252"/>
    <x v="2"/>
    <d v="2024-10-26T00:00:00"/>
    <x v="0"/>
    <s v="New music just dropped. Hit play!"/>
    <n v="4676"/>
    <n v="211"/>
    <n v="55"/>
    <n v="45917"/>
    <n v="73503"/>
    <n v="248"/>
    <x v="1"/>
    <x v="2"/>
    <n v="0.10762898272970794"/>
    <n v="90"/>
  </r>
  <r>
    <s v="SP253"/>
    <x v="2"/>
    <d v="2024-08-08T00:00:00"/>
    <x v="0"/>
    <s v="From pop to podcasts, it's all here."/>
    <n v="1994"/>
    <n v="197"/>
    <n v="290"/>
    <n v="49500"/>
    <n v="23343"/>
    <n v="160"/>
    <x v="1"/>
    <x v="2"/>
    <n v="5.0121212121212122E-2"/>
    <n v="254"/>
  </r>
  <r>
    <s v="SP254"/>
    <x v="1"/>
    <d v="2025-02-03T00:00:00"/>
    <x v="0"/>
    <s v="What's your vibe today? #SpotifyHits"/>
    <n v="4995"/>
    <n v="231"/>
    <n v="94"/>
    <n v="34431"/>
    <n v="32560"/>
    <n v="262"/>
    <x v="3"/>
    <x v="1"/>
    <n v="0.15451192239551567"/>
    <n v="34"/>
  </r>
  <r>
    <s v="SP255"/>
    <x v="1"/>
    <d v="2024-04-03T00:00:00"/>
    <x v="1"/>
    <s v="Top trending tracks updated daily!"/>
    <n v="2291"/>
    <n v="146"/>
    <n v="399"/>
    <n v="49319"/>
    <n v="28056"/>
    <n v="90"/>
    <x v="1"/>
    <x v="3"/>
    <n v="5.7503193495407452E-2"/>
    <n v="232"/>
  </r>
  <r>
    <s v="SP256"/>
    <x v="1"/>
    <d v="2024-07-08T00:00:00"/>
    <x v="1"/>
    <s v="Wrapped is here! Relive your top tracks "/>
    <n v="2304"/>
    <n v="289"/>
    <n v="161"/>
    <n v="52645"/>
    <n v="66262"/>
    <n v="146"/>
    <x v="2"/>
    <x v="0"/>
    <n v="5.2312660271630736E-2"/>
    <n v="246"/>
  </r>
  <r>
    <s v="SP257"/>
    <x v="1"/>
    <d v="2024-06-08T00:00:00"/>
    <x v="1"/>
    <s v="Top trending tracks updated daily!"/>
    <n v="3413"/>
    <n v="326"/>
    <n v="86"/>
    <n v="44680"/>
    <n v="52719"/>
    <n v="272"/>
    <x v="1"/>
    <x v="3"/>
    <n v="8.5608773500447627E-2"/>
    <n v="153"/>
  </r>
  <r>
    <s v="SP258"/>
    <x v="2"/>
    <d v="2025-03-20T00:00:00"/>
    <x v="2"/>
    <s v="From pop to podcasts, it's all here."/>
    <n v="1453"/>
    <n v="156"/>
    <n v="178"/>
    <n v="52980"/>
    <n v="57180"/>
    <n v="286"/>
    <x v="1"/>
    <x v="4"/>
    <n v="3.3729709324273313E-2"/>
    <n v="292"/>
  </r>
  <r>
    <s v="SP259"/>
    <x v="1"/>
    <d v="2025-01-19T00:00:00"/>
    <x v="1"/>
    <s v="Music that moves you-only on Spotify."/>
    <n v="1651"/>
    <n v="480"/>
    <n v="282"/>
    <n v="32140"/>
    <n v="70560"/>
    <n v="138"/>
    <x v="0"/>
    <x v="0"/>
    <n v="7.5077784691972627E-2"/>
    <n v="188"/>
  </r>
  <r>
    <s v="SP260"/>
    <x v="1"/>
    <d v="2025-01-05T00:00:00"/>
    <x v="1"/>
    <s v="Explore the latest podcasts now."/>
    <n v="3341"/>
    <n v="154"/>
    <n v="123"/>
    <n v="43369"/>
    <n v="49035"/>
    <n v="128"/>
    <x v="2"/>
    <x v="0"/>
    <n v="8.3423643616408028E-2"/>
    <n v="163"/>
  </r>
  <r>
    <s v="SP261"/>
    <x v="1"/>
    <d v="2024-11-16T00:00:00"/>
    <x v="0"/>
    <s v="From pop to podcasts, it's all here."/>
    <n v="2972"/>
    <n v="263"/>
    <n v="308"/>
    <n v="51740"/>
    <n v="28214"/>
    <n v="190"/>
    <x v="0"/>
    <x v="1"/>
    <n v="6.8477000386548123E-2"/>
    <n v="206"/>
  </r>
  <r>
    <s v="SP262"/>
    <x v="1"/>
    <d v="2024-11-30T00:00:00"/>
    <x v="1"/>
    <s v="Explore the latest podcasts now."/>
    <n v="4963"/>
    <n v="255"/>
    <n v="193"/>
    <n v="44386"/>
    <n v="28415"/>
    <n v="174"/>
    <x v="2"/>
    <x v="0"/>
    <n v="0.12190780876853062"/>
    <n v="63"/>
  </r>
  <r>
    <s v="SP263"/>
    <x v="2"/>
    <d v="2024-03-27T00:00:00"/>
    <x v="0"/>
    <s v="Music that moves you-only on Spotify."/>
    <n v="2399"/>
    <n v="191"/>
    <n v="221"/>
    <n v="51603"/>
    <n v="40033"/>
    <n v="173"/>
    <x v="1"/>
    <x v="2"/>
    <n v="5.4473577117609438E-2"/>
    <n v="240"/>
  </r>
  <r>
    <s v="SP264"/>
    <x v="2"/>
    <d v="2025-05-31T00:00:00"/>
    <x v="2"/>
    <s v="Get into the groove with our new drop!"/>
    <n v="2162"/>
    <n v="318"/>
    <n v="83"/>
    <n v="46719"/>
    <n v="20482"/>
    <n v="185"/>
    <x v="1"/>
    <x v="4"/>
    <n v="5.4859907104176028E-2"/>
    <n v="236"/>
  </r>
  <r>
    <s v="SP265"/>
    <x v="1"/>
    <d v="2025-06-17T00:00:00"/>
    <x v="1"/>
    <s v="Explore the latest podcasts now."/>
    <n v="4341"/>
    <n v="141"/>
    <n v="63"/>
    <n v="50081"/>
    <n v="27507"/>
    <n v="221"/>
    <x v="1"/>
    <x v="3"/>
    <n v="9.0752980172121162E-2"/>
    <n v="137"/>
  </r>
  <r>
    <s v="SP266"/>
    <x v="0"/>
    <d v="2024-05-30T00:00:00"/>
    <x v="1"/>
    <s v="Get into the groove with our new drop!"/>
    <n v="2448"/>
    <n v="464"/>
    <n v="98"/>
    <n v="25737"/>
    <n v="48545"/>
    <n v="246"/>
    <x v="3"/>
    <x v="1"/>
    <n v="0.11695224773672146"/>
    <n v="68"/>
  </r>
  <r>
    <s v="SP267"/>
    <x v="2"/>
    <d v="2024-11-08T00:00:00"/>
    <x v="0"/>
    <s v="Top trending tracks updated daily!"/>
    <n v="2471"/>
    <n v="166"/>
    <n v="320"/>
    <n v="48254"/>
    <n v="46900"/>
    <n v="111"/>
    <x v="1"/>
    <x v="2"/>
    <n v="6.1279893894806647E-2"/>
    <n v="219"/>
  </r>
  <r>
    <s v="SP268"/>
    <x v="2"/>
    <d v="2024-03-17T00:00:00"/>
    <x v="2"/>
    <s v="Explore the latest podcasts now."/>
    <n v="2692"/>
    <n v="446"/>
    <n v="216"/>
    <n v="45818"/>
    <n v="62723"/>
    <n v="85"/>
    <x v="1"/>
    <x v="4"/>
    <n v="7.3202671439172376E-2"/>
    <n v="193"/>
  </r>
  <r>
    <s v="SP269"/>
    <x v="2"/>
    <d v="2024-06-21T00:00:00"/>
    <x v="2"/>
    <s v="Music that moves you-only on Spotify."/>
    <n v="4621"/>
    <n v="374"/>
    <n v="298"/>
    <n v="56979"/>
    <n v="24098"/>
    <n v="205"/>
    <x v="1"/>
    <x v="4"/>
    <n v="9.2893873181347508E-2"/>
    <n v="129"/>
  </r>
  <r>
    <s v="SP270"/>
    <x v="1"/>
    <d v="2024-11-13T00:00:00"/>
    <x v="1"/>
    <s v="New music just dropped. Hit play!"/>
    <n v="1409"/>
    <n v="466"/>
    <n v="105"/>
    <n v="58923"/>
    <n v="38753"/>
    <n v="265"/>
    <x v="1"/>
    <x v="3"/>
    <n v="3.3603177027646251E-2"/>
    <n v="293"/>
  </r>
  <r>
    <s v="SP271"/>
    <x v="1"/>
    <d v="2025-02-05T00:00:00"/>
    <x v="1"/>
    <s v="Discover fresh beats on Spotify!"/>
    <n v="3029"/>
    <n v="440"/>
    <n v="66"/>
    <n v="23815"/>
    <n v="47895"/>
    <n v="210"/>
    <x v="1"/>
    <x v="3"/>
    <n v="0.14843585975225698"/>
    <n v="37"/>
  </r>
  <r>
    <s v="SP272"/>
    <x v="1"/>
    <d v="2024-11-07T00:00:00"/>
    <x v="0"/>
    <s v="Explore the latest podcasts now."/>
    <n v="2229"/>
    <n v="395"/>
    <n v="328"/>
    <n v="56921"/>
    <n v="37176"/>
    <n v="126"/>
    <x v="0"/>
    <x v="1"/>
    <n v="5.1861351697967357E-2"/>
    <n v="249"/>
  </r>
  <r>
    <s v="SP273"/>
    <x v="1"/>
    <d v="2024-02-12T00:00:00"/>
    <x v="0"/>
    <s v="Explore the latest podcasts now."/>
    <n v="2691"/>
    <n v="486"/>
    <n v="206"/>
    <n v="51133"/>
    <n v="44583"/>
    <n v="276"/>
    <x v="3"/>
    <x v="1"/>
    <n v="6.6160796354604659E-2"/>
    <n v="210"/>
  </r>
  <r>
    <s v="SP274"/>
    <x v="0"/>
    <d v="2024-10-08T00:00:00"/>
    <x v="0"/>
    <s v="Explore the latest podcasts now."/>
    <n v="2110"/>
    <n v="384"/>
    <n v="236"/>
    <n v="49965"/>
    <n v="61555"/>
    <n v="195"/>
    <x v="1"/>
    <x v="1"/>
    <n v="5.4638246772740921E-2"/>
    <n v="237"/>
  </r>
  <r>
    <s v="SP275"/>
    <x v="0"/>
    <d v="2024-02-19T00:00:00"/>
    <x v="0"/>
    <s v="Wrapped is here! Relive your top tracks "/>
    <n v="4752"/>
    <n v="449"/>
    <n v="309"/>
    <n v="58530"/>
    <n v="26630"/>
    <n v="234"/>
    <x v="1"/>
    <x v="1"/>
    <n v="9.4139757389372969E-2"/>
    <n v="125"/>
  </r>
  <r>
    <s v="SP276"/>
    <x v="1"/>
    <d v="2025-03-04T00:00:00"/>
    <x v="0"/>
    <s v="Discover fresh beats on Spotify!"/>
    <n v="2177"/>
    <n v="258"/>
    <n v="292"/>
    <n v="47276"/>
    <n v="51324"/>
    <n v="143"/>
    <x v="3"/>
    <x v="1"/>
    <n v="5.7682545054573146E-2"/>
    <n v="231"/>
  </r>
  <r>
    <s v="SP277"/>
    <x v="0"/>
    <d v="2025-02-03T00:00:00"/>
    <x v="1"/>
    <s v="New music just dropped. Hit play!"/>
    <n v="1205"/>
    <n v="486"/>
    <n v="269"/>
    <n v="23341"/>
    <n v="42411"/>
    <n v="184"/>
    <x v="3"/>
    <x v="1"/>
    <n v="8.3972409065592737E-2"/>
    <n v="161"/>
  </r>
  <r>
    <s v="SP278"/>
    <x v="0"/>
    <d v="2024-12-02T00:00:00"/>
    <x v="0"/>
    <s v="Top trending tracks updated daily!"/>
    <n v="3194"/>
    <n v="292"/>
    <n v="245"/>
    <n v="56371"/>
    <n v="65597"/>
    <n v="163"/>
    <x v="0"/>
    <x v="0"/>
    <n v="6.6186514342481059E-2"/>
    <n v="209"/>
  </r>
  <r>
    <s v="SP279"/>
    <x v="1"/>
    <d v="2025-01-19T00:00:00"/>
    <x v="1"/>
    <s v="New music just dropped. Hit play!"/>
    <n v="3507"/>
    <n v="295"/>
    <n v="371"/>
    <n v="20410"/>
    <n v="53965"/>
    <n v="212"/>
    <x v="0"/>
    <x v="0"/>
    <n v="0.20445859872611466"/>
    <n v="4"/>
  </r>
  <r>
    <s v="SP280"/>
    <x v="1"/>
    <d v="2024-09-28T00:00:00"/>
    <x v="1"/>
    <s v="Wrapped is here! Relive your top tracks "/>
    <n v="4471"/>
    <n v="317"/>
    <n v="249"/>
    <n v="44862"/>
    <n v="33365"/>
    <n v="184"/>
    <x v="1"/>
    <x v="3"/>
    <n v="0.1122776514644911"/>
    <n v="77"/>
  </r>
  <r>
    <s v="SP281"/>
    <x v="0"/>
    <d v="2024-01-07T00:00:00"/>
    <x v="0"/>
    <s v="Top trending tracks updated daily!"/>
    <n v="4931"/>
    <n v="469"/>
    <n v="193"/>
    <n v="56701"/>
    <n v="69437"/>
    <n v="291"/>
    <x v="0"/>
    <x v="0"/>
    <n v="9.8640235621946709E-2"/>
    <n v="110"/>
  </r>
  <r>
    <s v="SP282"/>
    <x v="1"/>
    <d v="2024-02-21T00:00:00"/>
    <x v="1"/>
    <s v="Get into the groove with our new drop!"/>
    <n v="2604"/>
    <n v="439"/>
    <n v="148"/>
    <n v="58468"/>
    <n v="39629"/>
    <n v="163"/>
    <x v="2"/>
    <x v="0"/>
    <n v="5.4576862557296296E-2"/>
    <n v="239"/>
  </r>
  <r>
    <s v="SP283"/>
    <x v="0"/>
    <d v="2024-08-27T00:00:00"/>
    <x v="0"/>
    <s v="Music that moves you-only on Spotify."/>
    <n v="4197"/>
    <n v="359"/>
    <n v="280"/>
    <n v="56048"/>
    <n v="70930"/>
    <n v="295"/>
    <x v="1"/>
    <x v="1"/>
    <n v="8.628318584070796E-2"/>
    <n v="151"/>
  </r>
  <r>
    <s v="SP284"/>
    <x v="0"/>
    <d v="2024-10-24T00:00:00"/>
    <x v="1"/>
    <s v="Top trending tracks updated daily!"/>
    <n v="1914"/>
    <n v="255"/>
    <n v="156"/>
    <n v="27660"/>
    <n v="47776"/>
    <n v="111"/>
    <x v="3"/>
    <x v="1"/>
    <n v="8.4056399132321047E-2"/>
    <n v="160"/>
  </r>
  <r>
    <s v="SP285"/>
    <x v="2"/>
    <d v="2025-01-29T00:00:00"/>
    <x v="0"/>
    <s v="New music just dropped. Hit play!"/>
    <n v="1334"/>
    <n v="357"/>
    <n v="257"/>
    <n v="56910"/>
    <n v="70606"/>
    <n v="228"/>
    <x v="1"/>
    <x v="2"/>
    <n v="3.4229485151994379E-2"/>
    <n v="290"/>
  </r>
  <r>
    <s v="SP286"/>
    <x v="0"/>
    <d v="2024-05-01T00:00:00"/>
    <x v="0"/>
    <s v="Get into the groove with our new drop!"/>
    <n v="3359"/>
    <n v="137"/>
    <n v="387"/>
    <n v="33861"/>
    <n v="47257"/>
    <n v="198"/>
    <x v="1"/>
    <x v="1"/>
    <n v="0.11467469950680724"/>
    <n v="72"/>
  </r>
  <r>
    <s v="SP287"/>
    <x v="2"/>
    <d v="2024-06-25T00:00:00"/>
    <x v="0"/>
    <s v="Your weekend playlist is waiting."/>
    <n v="2172"/>
    <n v="338"/>
    <n v="70"/>
    <n v="30515"/>
    <n v="57853"/>
    <n v="156"/>
    <x v="1"/>
    <x v="2"/>
    <n v="8.4548582664263475E-2"/>
    <n v="156"/>
  </r>
  <r>
    <s v="SP288"/>
    <x v="1"/>
    <d v="2024-08-09T00:00:00"/>
    <x v="1"/>
    <s v="From pop to podcasts, it's all here."/>
    <n v="4877"/>
    <n v="442"/>
    <n v="236"/>
    <n v="52673"/>
    <n v="48241"/>
    <n v="114"/>
    <x v="1"/>
    <x v="3"/>
    <n v="0.10546200140489435"/>
    <n v="98"/>
  </r>
  <r>
    <s v="SP289"/>
    <x v="0"/>
    <d v="2025-01-21T00:00:00"/>
    <x v="1"/>
    <s v="New music just dropped. Hit play!"/>
    <n v="4918"/>
    <n v="440"/>
    <n v="149"/>
    <n v="53269"/>
    <n v="64370"/>
    <n v="269"/>
    <x v="3"/>
    <x v="1"/>
    <n v="0.10338095327488783"/>
    <n v="102"/>
  </r>
  <r>
    <s v="SP290"/>
    <x v="1"/>
    <d v="2024-08-13T00:00:00"/>
    <x v="0"/>
    <s v="Explore the latest podcasts now."/>
    <n v="3418"/>
    <n v="107"/>
    <n v="221"/>
    <n v="23927"/>
    <n v="26182"/>
    <n v="155"/>
    <x v="0"/>
    <x v="1"/>
    <n v="0.1565595352530614"/>
    <n v="31"/>
  </r>
  <r>
    <s v="SP291"/>
    <x v="0"/>
    <d v="2024-06-29T00:00:00"/>
    <x v="0"/>
    <s v="Your weekend playlist is waiting."/>
    <n v="2088"/>
    <n v="490"/>
    <n v="124"/>
    <n v="46544"/>
    <n v="69346"/>
    <n v="178"/>
    <x v="0"/>
    <x v="0"/>
    <n v="5.8052595393606049E-2"/>
    <n v="229"/>
  </r>
  <r>
    <s v="SP292"/>
    <x v="1"/>
    <d v="2024-11-03T00:00:00"/>
    <x v="1"/>
    <s v="Explore the latest podcasts now."/>
    <n v="3061"/>
    <n v="320"/>
    <n v="76"/>
    <n v="26640"/>
    <n v="24306"/>
    <n v="112"/>
    <x v="2"/>
    <x v="0"/>
    <n v="0.12976726726726726"/>
    <n v="57"/>
  </r>
  <r>
    <s v="SP293"/>
    <x v="2"/>
    <d v="2025-04-18T00:00:00"/>
    <x v="2"/>
    <s v="Your weekend playlist is waiting."/>
    <n v="1265"/>
    <n v="230"/>
    <n v="364"/>
    <n v="41312"/>
    <n v="50382"/>
    <n v="106"/>
    <x v="1"/>
    <x v="4"/>
    <n v="4.4999031758326875E-2"/>
    <n v="266"/>
  </r>
  <r>
    <s v="SP294"/>
    <x v="0"/>
    <d v="2024-12-27T00:00:00"/>
    <x v="0"/>
    <s v="From pop to podcasts, it's all here."/>
    <n v="1436"/>
    <n v="219"/>
    <n v="229"/>
    <n v="58488"/>
    <n v="24314"/>
    <n v="147"/>
    <x v="1"/>
    <x v="1"/>
    <n v="3.221173574066475E-2"/>
    <n v="294"/>
  </r>
  <r>
    <s v="SP295"/>
    <x v="0"/>
    <d v="2025-03-08T00:00:00"/>
    <x v="1"/>
    <s v="Top trending tracks updated daily!"/>
    <n v="2244"/>
    <n v="392"/>
    <n v="231"/>
    <n v="25834"/>
    <n v="50906"/>
    <n v="165"/>
    <x v="3"/>
    <x v="1"/>
    <n v="0.1109777812185492"/>
    <n v="80"/>
  </r>
  <r>
    <s v="SP296"/>
    <x v="1"/>
    <d v="2025-03-20T00:00:00"/>
    <x v="1"/>
    <s v="Your weekend playlist is waiting."/>
    <n v="3393"/>
    <n v="104"/>
    <n v="79"/>
    <n v="30025"/>
    <n v="21593"/>
    <n v="165"/>
    <x v="2"/>
    <x v="0"/>
    <n v="0.1191007493755204"/>
    <n v="65"/>
  </r>
  <r>
    <s v="SP297"/>
    <x v="1"/>
    <d v="2024-11-16T00:00:00"/>
    <x v="0"/>
    <s v="Explore the latest podcasts now."/>
    <n v="2901"/>
    <n v="108"/>
    <n v="86"/>
    <n v="51777"/>
    <n v="23773"/>
    <n v="160"/>
    <x v="0"/>
    <x v="1"/>
    <n v="5.9775576027966085E-2"/>
    <n v="224"/>
  </r>
  <r>
    <s v="SP298"/>
    <x v="1"/>
    <d v="2025-06-30T00:00:00"/>
    <x v="0"/>
    <s v="What's your vibe today? #SpotifyHits"/>
    <n v="2275"/>
    <n v="285"/>
    <n v="125"/>
    <n v="43970"/>
    <n v="74761"/>
    <n v="83"/>
    <x v="3"/>
    <x v="1"/>
    <n v="6.1064362065044349E-2"/>
    <n v="221"/>
  </r>
  <r>
    <s v="SP299"/>
    <x v="1"/>
    <d v="2024-01-12T00:00:00"/>
    <x v="1"/>
    <s v="Wrapped is here! Relive your top tracks "/>
    <n v="2227"/>
    <n v="494"/>
    <n v="161"/>
    <n v="51651"/>
    <n v="68074"/>
    <n v="240"/>
    <x v="1"/>
    <x v="3"/>
    <n v="5.5797564422760453E-2"/>
    <n v="235"/>
  </r>
  <r>
    <s v="SP300"/>
    <x v="0"/>
    <d v="2024-02-07T00:00:00"/>
    <x v="0"/>
    <s v="Music that moves you-only on Spotify."/>
    <n v="1883"/>
    <n v="432"/>
    <n v="397"/>
    <n v="28759"/>
    <n v="18691"/>
    <n v="270"/>
    <x v="0"/>
    <x v="0"/>
    <n v="9.4300914496331587E-2"/>
    <n v="1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n v="9.92"/>
    <n v="23125"/>
  </r>
  <r>
    <d v="2024-06-03T00:00:00"/>
    <x v="1"/>
    <n v="995"/>
    <n v="86"/>
    <n v="227958"/>
    <n v="8.0500000000000007"/>
    <n v="22788"/>
  </r>
  <r>
    <d v="2024-06-03T00:00:00"/>
    <x v="2"/>
    <n v="1472"/>
    <n v="296"/>
    <n v="370242"/>
    <n v="7.72"/>
    <n v="7810"/>
  </r>
  <r>
    <d v="2024-06-10T00:00:00"/>
    <x v="0"/>
    <n v="1018"/>
    <n v="90"/>
    <n v="92474"/>
    <n v="9.4"/>
    <n v="11966"/>
  </r>
  <r>
    <d v="2024-06-10T00:00:00"/>
    <x v="1"/>
    <n v="1461"/>
    <n v="64"/>
    <n v="328902"/>
    <n v="9.02"/>
    <n v="26298"/>
  </r>
  <r>
    <d v="2024-06-10T00:00:00"/>
    <x v="2"/>
    <n v="545"/>
    <n v="93"/>
    <n v="391621"/>
    <n v="9.9600000000000009"/>
    <n v="22029"/>
  </r>
  <r>
    <d v="2024-06-17T00:00:00"/>
    <x v="0"/>
    <n v="881"/>
    <n v="291"/>
    <n v="95885"/>
    <n v="5.29"/>
    <n v="12391"/>
  </r>
  <r>
    <d v="2024-06-17T00:00:00"/>
    <x v="1"/>
    <n v="1414"/>
    <n v="131"/>
    <n v="245947"/>
    <n v="8.3000000000000007"/>
    <n v="14477"/>
  </r>
  <r>
    <d v="2024-06-17T00:00:00"/>
    <x v="2"/>
    <n v="1472"/>
    <n v="170"/>
    <n v="250428"/>
    <n v="4.66"/>
    <n v="25040"/>
  </r>
  <r>
    <d v="2024-06-24T00:00:00"/>
    <x v="0"/>
    <n v="809"/>
    <n v="197"/>
    <n v="87186"/>
    <n v="9.48"/>
    <n v="22619"/>
  </r>
  <r>
    <d v="2024-06-24T00:00:00"/>
    <x v="1"/>
    <n v="1371"/>
    <n v="250"/>
    <n v="128620"/>
    <n v="7.11"/>
    <n v="12399"/>
  </r>
  <r>
    <d v="2024-06-24T00:00:00"/>
    <x v="2"/>
    <n v="844"/>
    <n v="144"/>
    <n v="126015"/>
    <n v="9.65"/>
    <n v="22456"/>
  </r>
  <r>
    <d v="2024-07-01T00:00:00"/>
    <x v="0"/>
    <n v="786"/>
    <n v="72"/>
    <n v="178615"/>
    <n v="5.43"/>
    <n v="19328"/>
  </r>
  <r>
    <d v="2024-07-01T00:00:00"/>
    <x v="1"/>
    <n v="845"/>
    <n v="250"/>
    <n v="218228"/>
    <n v="4.5199999999999996"/>
    <n v="21107"/>
  </r>
  <r>
    <d v="2024-07-01T00:00:00"/>
    <x v="2"/>
    <n v="1218"/>
    <n v="101"/>
    <n v="300397"/>
    <n v="4.33"/>
    <n v="12277"/>
  </r>
  <r>
    <d v="2024-07-08T00:00:00"/>
    <x v="0"/>
    <n v="797"/>
    <n v="130"/>
    <n v="340121"/>
    <n v="8.52"/>
    <n v="11684"/>
  </r>
  <r>
    <d v="2024-07-08T00:00:00"/>
    <x v="1"/>
    <n v="1471"/>
    <n v="100"/>
    <n v="76866"/>
    <n v="8.5500000000000007"/>
    <n v="14412"/>
  </r>
  <r>
    <d v="2024-07-08T00:00:00"/>
    <x v="2"/>
    <n v="1253"/>
    <n v="136"/>
    <n v="193131"/>
    <n v="7.99"/>
    <n v="15924"/>
  </r>
  <r>
    <d v="2024-07-15T00:00:00"/>
    <x v="0"/>
    <n v="616"/>
    <n v="257"/>
    <n v="169665"/>
    <n v="6.31"/>
    <n v="12390"/>
  </r>
  <r>
    <d v="2024-07-15T00:00:00"/>
    <x v="1"/>
    <n v="1308"/>
    <n v="210"/>
    <n v="263729"/>
    <n v="8.5299999999999994"/>
    <n v="25742"/>
  </r>
  <r>
    <d v="2024-07-15T00:00:00"/>
    <x v="2"/>
    <n v="981"/>
    <n v="69"/>
    <n v="206921"/>
    <n v="8.42"/>
    <n v="10495"/>
  </r>
  <r>
    <d v="2024-07-22T00:00:00"/>
    <x v="0"/>
    <n v="866"/>
    <n v="74"/>
    <n v="204121"/>
    <n v="9.34"/>
    <n v="7797"/>
  </r>
  <r>
    <d v="2024-07-22T00:00:00"/>
    <x v="1"/>
    <n v="547"/>
    <n v="183"/>
    <n v="266350"/>
    <n v="5.65"/>
    <n v="15595"/>
  </r>
  <r>
    <d v="2024-07-22T00:00:00"/>
    <x v="2"/>
    <n v="1241"/>
    <n v="116"/>
    <n v="380606"/>
    <n v="4.2"/>
    <n v="24617"/>
  </r>
  <r>
    <d v="2024-07-29T00:00:00"/>
    <x v="0"/>
    <n v="973"/>
    <n v="104"/>
    <n v="376358"/>
    <n v="3.87"/>
    <n v="9847"/>
  </r>
  <r>
    <d v="2024-07-29T00:00:00"/>
    <x v="1"/>
    <n v="611"/>
    <n v="197"/>
    <n v="79423"/>
    <n v="5.82"/>
    <n v="13644"/>
  </r>
  <r>
    <d v="2024-07-29T00:00:00"/>
    <x v="2"/>
    <n v="983"/>
    <n v="134"/>
    <n v="352178"/>
    <n v="3.55"/>
    <n v="11421"/>
  </r>
  <r>
    <d v="2024-08-05T00:00:00"/>
    <x v="0"/>
    <n v="1449"/>
    <n v="96"/>
    <n v="200636"/>
    <n v="9.92"/>
    <n v="15613"/>
  </r>
  <r>
    <d v="2024-08-05T00:00:00"/>
    <x v="1"/>
    <n v="752"/>
    <n v="170"/>
    <n v="132756"/>
    <n v="8.17"/>
    <n v="23900"/>
  </r>
  <r>
    <d v="2024-08-05T00:00:00"/>
    <x v="2"/>
    <n v="937"/>
    <n v="179"/>
    <n v="318098"/>
    <n v="5.3"/>
    <n v="5836"/>
  </r>
  <r>
    <d v="2024-08-12T00:00:00"/>
    <x v="0"/>
    <n v="1060"/>
    <n v="83"/>
    <n v="68724"/>
    <n v="5.98"/>
    <n v="5624"/>
  </r>
  <r>
    <d v="2024-08-12T00:00:00"/>
    <x v="1"/>
    <n v="1456"/>
    <n v="265"/>
    <n v="115505"/>
    <n v="7.49"/>
    <n v="10311"/>
  </r>
  <r>
    <d v="2024-08-12T00:00:00"/>
    <x v="2"/>
    <n v="1109"/>
    <n v="205"/>
    <n v="276722"/>
    <n v="9.3800000000000008"/>
    <n v="8274"/>
  </r>
  <r>
    <d v="2024-08-19T00:00:00"/>
    <x v="0"/>
    <n v="1002"/>
    <n v="93"/>
    <n v="353538"/>
    <n v="5.84"/>
    <n v="6031"/>
  </r>
  <r>
    <d v="2024-08-19T00:00:00"/>
    <x v="1"/>
    <n v="571"/>
    <n v="189"/>
    <n v="61445"/>
    <n v="5.41"/>
    <n v="27829"/>
  </r>
  <r>
    <d v="2024-08-19T00:00:00"/>
    <x v="2"/>
    <n v="1240"/>
    <n v="231"/>
    <n v="165035"/>
    <n v="6.05"/>
    <n v="18267"/>
  </r>
  <r>
    <d v="2024-08-26T00:00:00"/>
    <x v="0"/>
    <n v="1154"/>
    <n v="132"/>
    <n v="194595"/>
    <n v="7.54"/>
    <n v="26624"/>
  </r>
  <r>
    <d v="2024-08-26T00:00:00"/>
    <x v="1"/>
    <n v="537"/>
    <n v="275"/>
    <n v="236238"/>
    <n v="5.87"/>
    <n v="26644"/>
  </r>
  <r>
    <d v="2024-08-26T00:00:00"/>
    <x v="2"/>
    <n v="1456"/>
    <n v="290"/>
    <n v="271044"/>
    <n v="7.17"/>
    <n v="13051"/>
  </r>
  <r>
    <d v="2024-09-02T00:00:00"/>
    <x v="0"/>
    <n v="721"/>
    <n v="206"/>
    <n v="334887"/>
    <n v="6.05"/>
    <n v="14217"/>
  </r>
  <r>
    <d v="2024-09-02T00:00:00"/>
    <x v="1"/>
    <n v="1098"/>
    <n v="142"/>
    <n v="359150"/>
    <n v="7.51"/>
    <n v="16385"/>
  </r>
  <r>
    <d v="2024-09-02T00:00:00"/>
    <x v="2"/>
    <n v="1096"/>
    <n v="65"/>
    <n v="358295"/>
    <n v="7.66"/>
    <n v="24548"/>
  </r>
  <r>
    <d v="2024-09-09T00:00:00"/>
    <x v="0"/>
    <n v="912"/>
    <n v="275"/>
    <n v="368454"/>
    <n v="6.03"/>
    <n v="9195"/>
  </r>
  <r>
    <d v="2024-09-09T00:00:00"/>
    <x v="1"/>
    <n v="1430"/>
    <n v="162"/>
    <n v="269082"/>
    <n v="3.4"/>
    <n v="18071"/>
  </r>
  <r>
    <d v="2024-09-09T00:00:00"/>
    <x v="2"/>
    <n v="854"/>
    <n v="129"/>
    <n v="310903"/>
    <n v="7.83"/>
    <n v="16875"/>
  </r>
  <r>
    <d v="2024-09-16T00:00:00"/>
    <x v="0"/>
    <n v="681"/>
    <n v="210"/>
    <n v="248581"/>
    <n v="8.76"/>
    <n v="9567"/>
  </r>
  <r>
    <d v="2024-09-16T00:00:00"/>
    <x v="1"/>
    <n v="1373"/>
    <n v="82"/>
    <n v="371015"/>
    <n v="9.52"/>
    <n v="20306"/>
  </r>
  <r>
    <d v="2024-09-16T00:00:00"/>
    <x v="2"/>
    <n v="685"/>
    <n v="285"/>
    <n v="177452"/>
    <n v="3.36"/>
    <n v="21134"/>
  </r>
  <r>
    <d v="2024-09-23T00:00:00"/>
    <x v="0"/>
    <n v="1290"/>
    <n v="177"/>
    <n v="80745"/>
    <n v="9.2200000000000006"/>
    <n v="26872"/>
  </r>
  <r>
    <d v="2024-09-23T00:00:00"/>
    <x v="1"/>
    <n v="1437"/>
    <n v="239"/>
    <n v="362441"/>
    <n v="5.57"/>
    <n v="10253"/>
  </r>
  <r>
    <d v="2024-09-23T00:00:00"/>
    <x v="2"/>
    <n v="769"/>
    <n v="295"/>
    <n v="344771"/>
    <n v="8.06"/>
    <n v="23963"/>
  </r>
  <r>
    <d v="2024-09-30T00:00:00"/>
    <x v="0"/>
    <n v="1416"/>
    <n v="284"/>
    <n v="374952"/>
    <n v="3.45"/>
    <n v="11335"/>
  </r>
  <r>
    <d v="2024-09-30T00:00:00"/>
    <x v="1"/>
    <n v="998"/>
    <n v="154"/>
    <n v="179781"/>
    <n v="9.58"/>
    <n v="12115"/>
  </r>
  <r>
    <d v="2024-09-30T00:00:00"/>
    <x v="2"/>
    <n v="1421"/>
    <n v="246"/>
    <n v="358581"/>
    <n v="8.8800000000000008"/>
    <n v="24358"/>
  </r>
  <r>
    <d v="2024-10-07T00:00:00"/>
    <x v="0"/>
    <n v="764"/>
    <n v="205"/>
    <n v="319294"/>
    <n v="6.23"/>
    <n v="12181"/>
  </r>
  <r>
    <d v="2024-10-07T00:00:00"/>
    <x v="1"/>
    <n v="678"/>
    <n v="124"/>
    <n v="192022"/>
    <n v="8.4499999999999993"/>
    <n v="17729"/>
  </r>
  <r>
    <d v="2024-10-07T00:00:00"/>
    <x v="2"/>
    <n v="1328"/>
    <n v="103"/>
    <n v="151462"/>
    <n v="8.4"/>
    <n v="10881"/>
  </r>
  <r>
    <d v="2024-10-14T00:00:00"/>
    <x v="0"/>
    <n v="1161"/>
    <n v="269"/>
    <n v="188193"/>
    <n v="7.34"/>
    <n v="18576"/>
  </r>
  <r>
    <d v="2024-10-14T00:00:00"/>
    <x v="1"/>
    <n v="588"/>
    <n v="52"/>
    <n v="292040"/>
    <n v="8.14"/>
    <n v="9383"/>
  </r>
  <r>
    <d v="2024-10-14T00:00:00"/>
    <x v="2"/>
    <n v="1457"/>
    <n v="215"/>
    <n v="325325"/>
    <n v="9.58"/>
    <n v="14178"/>
  </r>
  <r>
    <d v="2024-10-21T00:00:00"/>
    <x v="0"/>
    <n v="1190"/>
    <n v="242"/>
    <n v="86849"/>
    <n v="8.06"/>
    <n v="21254"/>
  </r>
  <r>
    <d v="2024-10-21T00:00:00"/>
    <x v="1"/>
    <n v="886"/>
    <n v="124"/>
    <n v="141161"/>
    <n v="8.19"/>
    <n v="14215"/>
  </r>
  <r>
    <d v="2024-10-21T00:00:00"/>
    <x v="2"/>
    <n v="1237"/>
    <n v="155"/>
    <n v="149916"/>
    <n v="4.4800000000000004"/>
    <n v="16921"/>
  </r>
  <r>
    <d v="2024-10-28T00:00:00"/>
    <x v="0"/>
    <n v="1435"/>
    <n v="261"/>
    <n v="308533"/>
    <n v="4.5199999999999996"/>
    <n v="25130"/>
  </r>
  <r>
    <d v="2024-10-28T00:00:00"/>
    <x v="1"/>
    <n v="746"/>
    <n v="282"/>
    <n v="293894"/>
    <n v="5.42"/>
    <n v="25537"/>
  </r>
  <r>
    <d v="2024-10-28T00:00:00"/>
    <x v="2"/>
    <n v="759"/>
    <n v="216"/>
    <n v="147656"/>
    <n v="4.08"/>
    <n v="24943"/>
  </r>
  <r>
    <d v="2024-11-04T00:00:00"/>
    <x v="0"/>
    <n v="1437"/>
    <n v="235"/>
    <n v="326791"/>
    <n v="4.0599999999999996"/>
    <n v="14563"/>
  </r>
  <r>
    <d v="2024-11-04T00:00:00"/>
    <x v="1"/>
    <n v="1463"/>
    <n v="73"/>
    <n v="348877"/>
    <n v="9.91"/>
    <n v="26273"/>
  </r>
  <r>
    <d v="2024-11-04T00:00:00"/>
    <x v="2"/>
    <n v="1208"/>
    <n v="224"/>
    <n v="122730"/>
    <n v="8.7200000000000006"/>
    <n v="10858"/>
  </r>
  <r>
    <d v="2024-11-11T00:00:00"/>
    <x v="0"/>
    <n v="1391"/>
    <n v="187"/>
    <n v="306508"/>
    <n v="8.3800000000000008"/>
    <n v="25038"/>
  </r>
  <r>
    <d v="2024-11-11T00:00:00"/>
    <x v="1"/>
    <n v="655"/>
    <n v="123"/>
    <n v="202472"/>
    <n v="7.56"/>
    <n v="9092"/>
  </r>
  <r>
    <d v="2024-11-11T00:00:00"/>
    <x v="2"/>
    <n v="1148"/>
    <n v="90"/>
    <n v="227249"/>
    <n v="7.24"/>
    <n v="17662"/>
  </r>
  <r>
    <d v="2024-11-18T00:00:00"/>
    <x v="0"/>
    <n v="946"/>
    <n v="270"/>
    <n v="246567"/>
    <n v="4.53"/>
    <n v="5924"/>
  </r>
  <r>
    <d v="2024-11-18T00:00:00"/>
    <x v="1"/>
    <n v="791"/>
    <n v="214"/>
    <n v="114738"/>
    <n v="6.62"/>
    <n v="25347"/>
  </r>
  <r>
    <d v="2024-11-18T00:00:00"/>
    <x v="2"/>
    <n v="793"/>
    <n v="111"/>
    <n v="333500"/>
    <n v="6.36"/>
    <n v="8910"/>
  </r>
  <r>
    <d v="2024-11-25T00:00:00"/>
    <x v="0"/>
    <n v="663"/>
    <n v="213"/>
    <n v="352677"/>
    <n v="9"/>
    <n v="20438"/>
  </r>
  <r>
    <d v="2024-11-25T00:00:00"/>
    <x v="1"/>
    <n v="954"/>
    <n v="271"/>
    <n v="160936"/>
    <n v="8.83"/>
    <n v="8760"/>
  </r>
  <r>
    <d v="2024-11-25T00:00:00"/>
    <x v="2"/>
    <n v="1313"/>
    <n v="159"/>
    <n v="197183"/>
    <n v="9.7100000000000009"/>
    <n v="6625"/>
  </r>
  <r>
    <d v="2024-12-02T00:00:00"/>
    <x v="0"/>
    <n v="895"/>
    <n v="87"/>
    <n v="171271"/>
    <n v="6.68"/>
    <n v="23329"/>
  </r>
  <r>
    <d v="2024-12-02T00:00:00"/>
    <x v="1"/>
    <n v="1027"/>
    <n v="156"/>
    <n v="111293"/>
    <n v="5.51"/>
    <n v="7299"/>
  </r>
  <r>
    <d v="2024-12-02T00:00:00"/>
    <x v="2"/>
    <n v="990"/>
    <n v="286"/>
    <n v="351493"/>
    <n v="7.97"/>
    <n v="14496"/>
  </r>
  <r>
    <d v="2024-12-09T00:00:00"/>
    <x v="0"/>
    <n v="875"/>
    <n v="264"/>
    <n v="345631"/>
    <n v="9.18"/>
    <n v="25703"/>
  </r>
  <r>
    <d v="2024-12-09T00:00:00"/>
    <x v="1"/>
    <n v="599"/>
    <n v="194"/>
    <n v="105622"/>
    <n v="6.44"/>
    <n v="15108"/>
  </r>
  <r>
    <d v="2024-12-09T00:00:00"/>
    <x v="2"/>
    <n v="630"/>
    <n v="248"/>
    <n v="119054"/>
    <n v="5.0199999999999996"/>
    <n v="18867"/>
  </r>
  <r>
    <d v="2024-12-16T00:00:00"/>
    <x v="0"/>
    <n v="1350"/>
    <n v="233"/>
    <n v="171670"/>
    <n v="4.53"/>
    <n v="17574"/>
  </r>
  <r>
    <d v="2024-12-16T00:00:00"/>
    <x v="1"/>
    <n v="632"/>
    <n v="155"/>
    <n v="170432"/>
    <n v="9.17"/>
    <n v="12840"/>
  </r>
  <r>
    <d v="2024-12-16T00:00:00"/>
    <x v="2"/>
    <n v="1182"/>
    <n v="83"/>
    <n v="140300"/>
    <n v="3.27"/>
    <n v="21079"/>
  </r>
  <r>
    <d v="2024-12-23T00:00:00"/>
    <x v="0"/>
    <n v="661"/>
    <n v="94"/>
    <n v="116538"/>
    <n v="5.31"/>
    <n v="23486"/>
  </r>
  <r>
    <d v="2024-12-23T00:00:00"/>
    <x v="1"/>
    <n v="1360"/>
    <n v="227"/>
    <n v="176902"/>
    <n v="6.03"/>
    <n v="5960"/>
  </r>
  <r>
    <d v="2024-12-23T00:00:00"/>
    <x v="2"/>
    <n v="935"/>
    <n v="85"/>
    <n v="326821"/>
    <n v="8.89"/>
    <n v="13301"/>
  </r>
  <r>
    <d v="2024-12-30T00:00:00"/>
    <x v="0"/>
    <n v="664"/>
    <n v="251"/>
    <n v="240598"/>
    <n v="4.79"/>
    <n v="10563"/>
  </r>
  <r>
    <d v="2024-12-30T00:00:00"/>
    <x v="1"/>
    <n v="1490"/>
    <n v="103"/>
    <n v="373274"/>
    <n v="4.8"/>
    <n v="19949"/>
  </r>
  <r>
    <d v="2024-12-30T00:00:00"/>
    <x v="2"/>
    <n v="601"/>
    <n v="64"/>
    <n v="123272"/>
    <n v="4.07"/>
    <n v="14273"/>
  </r>
  <r>
    <d v="2025-01-06T00:00:00"/>
    <x v="0"/>
    <n v="613"/>
    <n v="170"/>
    <n v="139266"/>
    <n v="6.06"/>
    <n v="9247"/>
  </r>
  <r>
    <d v="2025-01-06T00:00:00"/>
    <x v="1"/>
    <n v="1340"/>
    <n v="57"/>
    <n v="155927"/>
    <n v="7.79"/>
    <n v="11972"/>
  </r>
  <r>
    <d v="2025-01-06T00:00:00"/>
    <x v="2"/>
    <n v="953"/>
    <n v="228"/>
    <n v="258398"/>
    <n v="9.0500000000000007"/>
    <n v="13314"/>
  </r>
  <r>
    <d v="2025-01-13T00:00:00"/>
    <x v="0"/>
    <n v="532"/>
    <n v="65"/>
    <n v="338561"/>
    <n v="3.5"/>
    <n v="14749"/>
  </r>
  <r>
    <d v="2025-01-13T00:00:00"/>
    <x v="1"/>
    <n v="1414"/>
    <n v="60"/>
    <n v="341856"/>
    <n v="8.76"/>
    <n v="6868"/>
  </r>
  <r>
    <d v="2025-01-13T00:00:00"/>
    <x v="2"/>
    <n v="685"/>
    <n v="165"/>
    <n v="175860"/>
    <n v="6.26"/>
    <n v="6027"/>
  </r>
  <r>
    <d v="2025-01-20T00:00:00"/>
    <x v="0"/>
    <n v="601"/>
    <n v="159"/>
    <n v="327722"/>
    <n v="3.33"/>
    <n v="25267"/>
  </r>
  <r>
    <d v="2025-01-20T00:00:00"/>
    <x v="1"/>
    <n v="841"/>
    <n v="295"/>
    <n v="271638"/>
    <n v="9.15"/>
    <n v="5900"/>
  </r>
  <r>
    <d v="2025-01-20T00:00:00"/>
    <x v="2"/>
    <n v="1105"/>
    <n v="261"/>
    <n v="333851"/>
    <n v="6.03"/>
    <n v="11181"/>
  </r>
  <r>
    <d v="2025-01-27T00:00:00"/>
    <x v="0"/>
    <n v="566"/>
    <n v="225"/>
    <n v="368984"/>
    <n v="9.82"/>
    <n v="9592"/>
  </r>
  <r>
    <d v="2025-01-27T00:00:00"/>
    <x v="1"/>
    <n v="1149"/>
    <n v="280"/>
    <n v="167310"/>
    <n v="3.7"/>
    <n v="5291"/>
  </r>
  <r>
    <d v="2025-01-27T00:00:00"/>
    <x v="2"/>
    <n v="819"/>
    <n v="101"/>
    <n v="194811"/>
    <n v="3.35"/>
    <n v="22244"/>
  </r>
  <r>
    <d v="2025-02-03T00:00:00"/>
    <x v="0"/>
    <n v="795"/>
    <n v="60"/>
    <n v="314982"/>
    <n v="7.31"/>
    <n v="6824"/>
  </r>
  <r>
    <d v="2025-02-03T00:00:00"/>
    <x v="1"/>
    <n v="681"/>
    <n v="158"/>
    <n v="75960"/>
    <n v="3.13"/>
    <n v="24112"/>
  </r>
  <r>
    <d v="2025-02-03T00:00:00"/>
    <x v="2"/>
    <n v="534"/>
    <n v="112"/>
    <n v="360759"/>
    <n v="4.8899999999999997"/>
    <n v="25478"/>
  </r>
  <r>
    <d v="2025-02-10T00:00:00"/>
    <x v="0"/>
    <n v="1066"/>
    <n v="151"/>
    <n v="297090"/>
    <n v="8.6300000000000008"/>
    <n v="11235"/>
  </r>
  <r>
    <d v="2025-02-10T00:00:00"/>
    <x v="1"/>
    <n v="1270"/>
    <n v="162"/>
    <n v="92040"/>
    <n v="8.0299999999999994"/>
    <n v="6120"/>
  </r>
  <r>
    <d v="2025-02-10T00:00:00"/>
    <x v="2"/>
    <n v="536"/>
    <n v="198"/>
    <n v="174610"/>
    <n v="7.85"/>
    <n v="20572"/>
  </r>
  <r>
    <d v="2025-02-17T00:00:00"/>
    <x v="0"/>
    <n v="819"/>
    <n v="95"/>
    <n v="177376"/>
    <n v="6.12"/>
    <n v="14975"/>
  </r>
  <r>
    <d v="2025-02-17T00:00:00"/>
    <x v="1"/>
    <n v="681"/>
    <n v="218"/>
    <n v="198882"/>
    <n v="7.16"/>
    <n v="22234"/>
  </r>
  <r>
    <d v="2025-02-17T00:00:00"/>
    <x v="2"/>
    <n v="646"/>
    <n v="290"/>
    <n v="336383"/>
    <n v="7.04"/>
    <n v="6532"/>
  </r>
  <r>
    <d v="2025-02-24T00:00:00"/>
    <x v="0"/>
    <n v="645"/>
    <n v="267"/>
    <n v="346890"/>
    <n v="3.71"/>
    <n v="24858"/>
  </r>
  <r>
    <d v="2025-02-24T00:00:00"/>
    <x v="1"/>
    <n v="886"/>
    <n v="250"/>
    <n v="168170"/>
    <n v="4.12"/>
    <n v="13883"/>
  </r>
  <r>
    <d v="2025-02-24T00:00:00"/>
    <x v="2"/>
    <n v="978"/>
    <n v="279"/>
    <n v="368872"/>
    <n v="6.82"/>
    <n v="18654"/>
  </r>
  <r>
    <d v="2025-03-03T00:00:00"/>
    <x v="0"/>
    <n v="1444"/>
    <n v="165"/>
    <n v="116436"/>
    <n v="8.2200000000000006"/>
    <n v="25234"/>
  </r>
  <r>
    <d v="2025-03-03T00:00:00"/>
    <x v="1"/>
    <n v="1234"/>
    <n v="228"/>
    <n v="127502"/>
    <n v="7.71"/>
    <n v="6772"/>
  </r>
  <r>
    <d v="2025-03-03T00:00:00"/>
    <x v="2"/>
    <n v="665"/>
    <n v="187"/>
    <n v="274567"/>
    <n v="7.39"/>
    <n v="22428"/>
  </r>
  <r>
    <d v="2025-03-10T00:00:00"/>
    <x v="0"/>
    <n v="631"/>
    <n v="86"/>
    <n v="295090"/>
    <n v="7.89"/>
    <n v="11911"/>
  </r>
  <r>
    <d v="2025-03-10T00:00:00"/>
    <x v="1"/>
    <n v="1159"/>
    <n v="154"/>
    <n v="194994"/>
    <n v="6.39"/>
    <n v="21900"/>
  </r>
  <r>
    <d v="2025-03-10T00:00:00"/>
    <x v="2"/>
    <n v="950"/>
    <n v="185"/>
    <n v="340750"/>
    <n v="6.77"/>
    <n v="25542"/>
  </r>
  <r>
    <d v="2025-03-17T00:00:00"/>
    <x v="0"/>
    <n v="693"/>
    <n v="129"/>
    <n v="296031"/>
    <n v="3.41"/>
    <n v="7140"/>
  </r>
  <r>
    <d v="2025-03-17T00:00:00"/>
    <x v="1"/>
    <n v="576"/>
    <n v="80"/>
    <n v="345688"/>
    <n v="4.1100000000000003"/>
    <n v="20474"/>
  </r>
  <r>
    <d v="2025-03-17T00:00:00"/>
    <x v="2"/>
    <n v="1274"/>
    <n v="146"/>
    <n v="263488"/>
    <n v="9.58"/>
    <n v="8698"/>
  </r>
  <r>
    <d v="2025-03-24T00:00:00"/>
    <x v="0"/>
    <n v="818"/>
    <n v="253"/>
    <n v="184911"/>
    <n v="3.39"/>
    <n v="10402"/>
  </r>
  <r>
    <d v="2025-03-24T00:00:00"/>
    <x v="1"/>
    <n v="975"/>
    <n v="162"/>
    <n v="124497"/>
    <n v="9.58"/>
    <n v="26618"/>
  </r>
  <r>
    <d v="2025-03-24T00:00:00"/>
    <x v="2"/>
    <n v="1398"/>
    <n v="97"/>
    <n v="397607"/>
    <n v="5.09"/>
    <n v="7975"/>
  </r>
  <r>
    <d v="2025-03-31T00:00:00"/>
    <x v="0"/>
    <n v="591"/>
    <n v="155"/>
    <n v="138521"/>
    <n v="7.85"/>
    <n v="19054"/>
  </r>
  <r>
    <d v="2025-03-31T00:00:00"/>
    <x v="1"/>
    <n v="1232"/>
    <n v="254"/>
    <n v="107718"/>
    <n v="9.7100000000000009"/>
    <n v="13740"/>
  </r>
  <r>
    <d v="2025-03-31T00:00:00"/>
    <x v="2"/>
    <n v="1425"/>
    <n v="58"/>
    <n v="202234"/>
    <n v="6.67"/>
    <n v="18442"/>
  </r>
  <r>
    <d v="2025-04-07T00:00:00"/>
    <x v="0"/>
    <n v="1417"/>
    <n v="80"/>
    <n v="340987"/>
    <n v="6.13"/>
    <n v="10104"/>
  </r>
  <r>
    <d v="2025-04-07T00:00:00"/>
    <x v="1"/>
    <n v="1222"/>
    <n v="208"/>
    <n v="340098"/>
    <n v="7.34"/>
    <n v="21771"/>
  </r>
  <r>
    <d v="2025-04-07T00:00:00"/>
    <x v="2"/>
    <n v="1071"/>
    <n v="131"/>
    <n v="254727"/>
    <n v="6.87"/>
    <n v="22191"/>
  </r>
  <r>
    <d v="2025-04-14T00:00:00"/>
    <x v="0"/>
    <n v="772"/>
    <n v="82"/>
    <n v="345659"/>
    <n v="3.52"/>
    <n v="27753"/>
  </r>
  <r>
    <d v="2025-04-14T00:00:00"/>
    <x v="1"/>
    <n v="1472"/>
    <n v="137"/>
    <n v="213950"/>
    <n v="6.96"/>
    <n v="23736"/>
  </r>
  <r>
    <d v="2025-04-14T00:00:00"/>
    <x v="2"/>
    <n v="1472"/>
    <n v="281"/>
    <n v="258115"/>
    <n v="7.23"/>
    <n v="27393"/>
  </r>
  <r>
    <d v="2025-04-21T00:00:00"/>
    <x v="0"/>
    <n v="585"/>
    <n v="232"/>
    <n v="321258"/>
    <n v="7.42"/>
    <n v="10343"/>
  </r>
  <r>
    <d v="2025-04-21T00:00:00"/>
    <x v="1"/>
    <n v="747"/>
    <n v="261"/>
    <n v="338650"/>
    <n v="7.73"/>
    <n v="25259"/>
  </r>
  <r>
    <d v="2025-04-21T00:00:00"/>
    <x v="2"/>
    <n v="1113"/>
    <n v="224"/>
    <n v="272989"/>
    <n v="5.13"/>
    <n v="24827"/>
  </r>
  <r>
    <d v="2025-04-28T00:00:00"/>
    <x v="0"/>
    <n v="1100"/>
    <n v="117"/>
    <n v="260204"/>
    <n v="4.4000000000000004"/>
    <n v="11908"/>
  </r>
  <r>
    <d v="2025-04-28T00:00:00"/>
    <x v="1"/>
    <n v="751"/>
    <n v="170"/>
    <n v="283278"/>
    <n v="3.49"/>
    <n v="11005"/>
  </r>
  <r>
    <d v="2025-04-28T00:00:00"/>
    <x v="2"/>
    <n v="864"/>
    <n v="50"/>
    <n v="277445"/>
    <n v="3.57"/>
    <n v="26333"/>
  </r>
  <r>
    <d v="2025-05-05T00:00:00"/>
    <x v="0"/>
    <n v="1146"/>
    <n v="227"/>
    <n v="353781"/>
    <n v="6.41"/>
    <n v="5495"/>
  </r>
  <r>
    <d v="2025-05-05T00:00:00"/>
    <x v="1"/>
    <n v="883"/>
    <n v="207"/>
    <n v="265019"/>
    <n v="6.04"/>
    <n v="15655"/>
  </r>
  <r>
    <d v="2025-05-05T00:00:00"/>
    <x v="2"/>
    <n v="622"/>
    <n v="163"/>
    <n v="231925"/>
    <n v="9.18"/>
    <n v="13763"/>
  </r>
  <r>
    <d v="2025-05-12T00:00:00"/>
    <x v="0"/>
    <n v="837"/>
    <n v="261"/>
    <n v="366149"/>
    <n v="6.54"/>
    <n v="26073"/>
  </r>
  <r>
    <d v="2025-05-12T00:00:00"/>
    <x v="1"/>
    <n v="544"/>
    <n v="97"/>
    <n v="168375"/>
    <n v="8.66"/>
    <n v="12774"/>
  </r>
  <r>
    <d v="2025-05-12T00:00:00"/>
    <x v="2"/>
    <n v="624"/>
    <n v="247"/>
    <n v="252763"/>
    <n v="3.89"/>
    <n v="19000"/>
  </r>
  <r>
    <d v="2025-05-19T00:00:00"/>
    <x v="0"/>
    <n v="1073"/>
    <n v="141"/>
    <n v="118393"/>
    <n v="7.95"/>
    <n v="14051"/>
  </r>
  <r>
    <d v="2025-05-19T00:00:00"/>
    <x v="1"/>
    <n v="1430"/>
    <n v="74"/>
    <n v="327012"/>
    <n v="6.66"/>
    <n v="27782"/>
  </r>
  <r>
    <d v="2025-05-19T00:00:00"/>
    <x v="2"/>
    <n v="1358"/>
    <n v="77"/>
    <n v="169688"/>
    <n v="5.25"/>
    <n v="7859"/>
  </r>
  <r>
    <d v="2025-05-26T00:00:00"/>
    <x v="0"/>
    <n v="1242"/>
    <n v="201"/>
    <n v="271935"/>
    <n v="5.07"/>
    <n v="15773"/>
  </r>
  <r>
    <d v="2025-05-26T00:00:00"/>
    <x v="1"/>
    <n v="1389"/>
    <n v="205"/>
    <n v="315981"/>
    <n v="7.62"/>
    <n v="20595"/>
  </r>
  <r>
    <d v="2025-05-26T00:00:00"/>
    <x v="2"/>
    <n v="826"/>
    <n v="142"/>
    <n v="341016"/>
    <n v="7.44"/>
    <n v="12031"/>
  </r>
  <r>
    <d v="2025-06-02T00:00:00"/>
    <x v="0"/>
    <n v="618"/>
    <n v="264"/>
    <n v="285164"/>
    <n v="4.8600000000000003"/>
    <n v="15128"/>
  </r>
  <r>
    <d v="2025-06-02T00:00:00"/>
    <x v="1"/>
    <n v="1419"/>
    <n v="293"/>
    <n v="116632"/>
    <n v="6.93"/>
    <n v="11826"/>
  </r>
  <r>
    <d v="2025-06-02T00:00:00"/>
    <x v="2"/>
    <n v="637"/>
    <n v="68"/>
    <n v="115694"/>
    <n v="9.99"/>
    <n v="12562"/>
  </r>
  <r>
    <d v="2025-06-09T00:00:00"/>
    <x v="0"/>
    <n v="917"/>
    <n v="187"/>
    <n v="64444"/>
    <n v="5.22"/>
    <n v="13013"/>
  </r>
  <r>
    <d v="2025-06-09T00:00:00"/>
    <x v="1"/>
    <n v="810"/>
    <n v="232"/>
    <n v="362559"/>
    <n v="5.17"/>
    <n v="12937"/>
  </r>
  <r>
    <d v="2025-06-09T00:00:00"/>
    <x v="2"/>
    <n v="1183"/>
    <n v="248"/>
    <n v="226881"/>
    <n v="5.17"/>
    <n v="14534"/>
  </r>
  <r>
    <d v="2025-06-16T00:00:00"/>
    <x v="0"/>
    <n v="765"/>
    <n v="67"/>
    <n v="283537"/>
    <n v="6.18"/>
    <n v="8182"/>
  </r>
  <r>
    <d v="2025-06-16T00:00:00"/>
    <x v="1"/>
    <n v="540"/>
    <n v="215"/>
    <n v="62837"/>
    <n v="5.3"/>
    <n v="10615"/>
  </r>
  <r>
    <d v="2025-06-16T00:00:00"/>
    <x v="2"/>
    <n v="1145"/>
    <n v="151"/>
    <n v="182759"/>
    <n v="5.99"/>
    <n v="20109"/>
  </r>
  <r>
    <d v="2025-06-23T00:00:00"/>
    <x v="0"/>
    <n v="564"/>
    <n v="244"/>
    <n v="279405"/>
    <n v="8.43"/>
    <n v="26024"/>
  </r>
  <r>
    <d v="2025-06-23T00:00:00"/>
    <x v="1"/>
    <n v="668"/>
    <n v="124"/>
    <n v="257485"/>
    <n v="7.55"/>
    <n v="26730"/>
  </r>
  <r>
    <d v="2025-06-23T00:00:00"/>
    <x v="2"/>
    <n v="761"/>
    <n v="241"/>
    <n v="154977"/>
    <n v="5.63"/>
    <n v="10563"/>
  </r>
  <r>
    <d v="2025-06-30T00:00:00"/>
    <x v="0"/>
    <n v="593"/>
    <n v="108"/>
    <n v="216500"/>
    <n v="4.71"/>
    <n v="27575"/>
  </r>
  <r>
    <d v="2025-06-30T00:00:00"/>
    <x v="1"/>
    <n v="1349"/>
    <n v="115"/>
    <n v="102102"/>
    <n v="5.28"/>
    <n v="14479"/>
  </r>
  <r>
    <d v="2025-06-30T00:00:00"/>
    <x v="2"/>
    <n v="693"/>
    <n v="97"/>
    <n v="92025"/>
    <n v="5.95"/>
    <n v="15915"/>
  </r>
  <r>
    <d v="2025-07-07T00:00:00"/>
    <x v="0"/>
    <n v="974"/>
    <n v="143"/>
    <n v="247965"/>
    <n v="9.98"/>
    <n v="12767"/>
  </r>
  <r>
    <d v="2025-07-07T00:00:00"/>
    <x v="1"/>
    <n v="1155"/>
    <n v="122"/>
    <n v="387352"/>
    <n v="9.93"/>
    <n v="12170"/>
  </r>
  <r>
    <d v="2025-07-07T00:00:00"/>
    <x v="2"/>
    <n v="1051"/>
    <n v="246"/>
    <n v="253985"/>
    <n v="9.08"/>
    <n v="7245"/>
  </r>
  <r>
    <d v="2025-07-14T00:00:00"/>
    <x v="0"/>
    <n v="1457"/>
    <n v="183"/>
    <n v="129640"/>
    <n v="7.98"/>
    <n v="12985"/>
  </r>
  <r>
    <d v="2025-07-14T00:00:00"/>
    <x v="1"/>
    <n v="670"/>
    <n v="242"/>
    <n v="281913"/>
    <n v="9.6199999999999992"/>
    <n v="16377"/>
  </r>
  <r>
    <d v="2025-07-14T00:00:00"/>
    <x v="2"/>
    <n v="1111"/>
    <n v="159"/>
    <n v="360770"/>
    <n v="8.7100000000000009"/>
    <n v="11453"/>
  </r>
  <r>
    <d v="2025-07-21T00:00:00"/>
    <x v="0"/>
    <n v="1197"/>
    <n v="246"/>
    <n v="127273"/>
    <n v="6.69"/>
    <n v="12323"/>
  </r>
  <r>
    <d v="2025-07-21T00:00:00"/>
    <x v="1"/>
    <n v="754"/>
    <n v="150"/>
    <n v="189622"/>
    <n v="4.25"/>
    <n v="11911"/>
  </r>
  <r>
    <d v="2025-07-21T00:00:00"/>
    <x v="2"/>
    <n v="1246"/>
    <n v="107"/>
    <n v="350949"/>
    <n v="4.9800000000000004"/>
    <n v="27809"/>
  </r>
  <r>
    <d v="2025-07-28T00:00:00"/>
    <x v="0"/>
    <n v="780"/>
    <n v="213"/>
    <n v="121431"/>
    <n v="4.97"/>
    <n v="21464"/>
  </r>
  <r>
    <d v="2025-07-28T00:00:00"/>
    <x v="1"/>
    <n v="1425"/>
    <n v="143"/>
    <n v="116742"/>
    <n v="3.71"/>
    <n v="27126"/>
  </r>
  <r>
    <d v="2025-07-28T00:00:00"/>
    <x v="2"/>
    <n v="1490"/>
    <n v="103"/>
    <n v="81184"/>
    <n v="7.79"/>
    <n v="10681"/>
  </r>
  <r>
    <d v="2025-08-04T00:00:00"/>
    <x v="0"/>
    <n v="949"/>
    <n v="282"/>
    <n v="87126"/>
    <n v="4.96"/>
    <n v="5413"/>
  </r>
  <r>
    <d v="2025-08-04T00:00:00"/>
    <x v="1"/>
    <n v="640"/>
    <n v="141"/>
    <n v="267546"/>
    <n v="8.58"/>
    <n v="25058"/>
  </r>
  <r>
    <d v="2025-08-04T00:00:00"/>
    <x v="2"/>
    <n v="616"/>
    <n v="93"/>
    <n v="133082"/>
    <n v="8.51"/>
    <n v="18303"/>
  </r>
  <r>
    <d v="2025-08-11T00:00:00"/>
    <x v="0"/>
    <n v="1080"/>
    <n v="184"/>
    <n v="340557"/>
    <n v="5.41"/>
    <n v="5526"/>
  </r>
  <r>
    <d v="2025-08-11T00:00:00"/>
    <x v="1"/>
    <n v="938"/>
    <n v="236"/>
    <n v="116472"/>
    <n v="8.7200000000000006"/>
    <n v="17460"/>
  </r>
  <r>
    <d v="2025-08-11T00:00:00"/>
    <x v="2"/>
    <n v="1007"/>
    <n v="258"/>
    <n v="113412"/>
    <n v="7.71"/>
    <n v="14475"/>
  </r>
  <r>
    <d v="2025-08-18T00:00:00"/>
    <x v="0"/>
    <n v="541"/>
    <n v="208"/>
    <n v="157547"/>
    <n v="8.35"/>
    <n v="20162"/>
  </r>
  <r>
    <d v="2025-08-18T00:00:00"/>
    <x v="1"/>
    <n v="745"/>
    <n v="98"/>
    <n v="354816"/>
    <n v="4.03"/>
    <n v="17103"/>
  </r>
  <r>
    <d v="2025-08-18T00:00:00"/>
    <x v="2"/>
    <n v="936"/>
    <n v="97"/>
    <n v="151799"/>
    <n v="9.3699999999999992"/>
    <n v="15461"/>
  </r>
  <r>
    <d v="2025-08-25T00:00:00"/>
    <x v="0"/>
    <n v="1183"/>
    <n v="223"/>
    <n v="143811"/>
    <n v="6.07"/>
    <n v="22103"/>
  </r>
  <r>
    <d v="2025-08-25T00:00:00"/>
    <x v="1"/>
    <n v="1413"/>
    <n v="245"/>
    <n v="296450"/>
    <n v="6.52"/>
    <n v="11625"/>
  </r>
  <r>
    <d v="2025-08-25T00:00:00"/>
    <x v="2"/>
    <n v="791"/>
    <n v="273"/>
    <n v="144049"/>
    <n v="3.08"/>
    <n v="5281"/>
  </r>
  <r>
    <d v="2025-09-01T00:00:00"/>
    <x v="0"/>
    <n v="1052"/>
    <n v="180"/>
    <n v="272534"/>
    <n v="5.34"/>
    <n v="13424"/>
  </r>
  <r>
    <d v="2025-09-01T00:00:00"/>
    <x v="1"/>
    <n v="572"/>
    <n v="270"/>
    <n v="82265"/>
    <n v="3.65"/>
    <n v="13140"/>
  </r>
  <r>
    <d v="2025-09-01T00:00:00"/>
    <x v="2"/>
    <n v="503"/>
    <n v="253"/>
    <n v="313562"/>
    <n v="4.18"/>
    <n v="19538"/>
  </r>
  <r>
    <d v="2025-09-08T00:00:00"/>
    <x v="0"/>
    <n v="1017"/>
    <n v="197"/>
    <n v="89918"/>
    <n v="3.91"/>
    <n v="7881"/>
  </r>
  <r>
    <d v="2025-09-08T00:00:00"/>
    <x v="1"/>
    <n v="860"/>
    <n v="244"/>
    <n v="348686"/>
    <n v="5.12"/>
    <n v="114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s v="Instagram"/>
    <d v="2025-05-04T00:00:00"/>
    <s v="Text"/>
    <s v="Discover fresh beats on Spotify!"/>
    <n v="2414"/>
    <n v="245"/>
    <n v="137"/>
    <n v="21181"/>
    <n v="45292"/>
    <n v="133"/>
    <n v="0.13200509890939993"/>
    <n v="53"/>
    <x v="0"/>
    <n v="2796"/>
  </r>
  <r>
    <s v="SP001"/>
    <s v="Instagram"/>
    <d v="2025-05-04T00:00:00"/>
    <s v="Text"/>
    <s v="Discover fresh beats on Spotify!"/>
    <n v="2414"/>
    <n v="245"/>
    <n v="137"/>
    <n v="21181"/>
    <n v="45292"/>
    <n v="133"/>
    <n v="0.13200509890939993"/>
    <n v="53"/>
    <x v="1"/>
    <n v="2796"/>
  </r>
  <r>
    <s v="SP002"/>
    <s v="Instagram"/>
    <d v="2025-02-01T00:00:00"/>
    <s v="Text"/>
    <s v="Explore the latest podcasts now."/>
    <n v="1934"/>
    <n v="210"/>
    <n v="393"/>
    <n v="29129"/>
    <n v="73287"/>
    <n v="273"/>
    <n v="8.7095334546328396E-2"/>
    <n v="145"/>
    <x v="2"/>
    <n v="2537"/>
  </r>
  <r>
    <s v="SP003"/>
    <s v="Twitter"/>
    <d v="2024-12-03T00:00:00"/>
    <s v="Story"/>
    <s v="New music just dropped. Hit play!"/>
    <n v="3092"/>
    <n v="177"/>
    <n v="81"/>
    <n v="47533"/>
    <n v="29220"/>
    <n v="121"/>
    <n v="7.0477352576105018E-2"/>
    <n v="202"/>
    <x v="3"/>
    <n v="3350"/>
  </r>
  <r>
    <s v="SP003"/>
    <s v="Twitter"/>
    <d v="2024-12-03T00:00:00"/>
    <s v="Story"/>
    <s v="New music just dropped. Hit play!"/>
    <n v="3092"/>
    <n v="177"/>
    <n v="81"/>
    <n v="47533"/>
    <n v="29220"/>
    <n v="121"/>
    <n v="7.0477352576105018E-2"/>
    <n v="202"/>
    <x v="1"/>
    <n v="3350"/>
  </r>
  <r>
    <s v="SP004"/>
    <s v="Instagram"/>
    <d v="2024-12-03T00:00:00"/>
    <s v="Text"/>
    <s v="Wrapped is here! Relive your top tracks "/>
    <n v="3173"/>
    <n v="229"/>
    <n v="197"/>
    <n v="29604"/>
    <n v="21809"/>
    <n v="272"/>
    <n v="0.1215714092690177"/>
    <n v="64"/>
    <x v="0"/>
    <n v="3599"/>
  </r>
  <r>
    <s v="SP004"/>
    <s v="Instagram"/>
    <d v="2024-12-03T00:00:00"/>
    <s v="Text"/>
    <s v="Wrapped is here! Relive your top tracks "/>
    <n v="3173"/>
    <n v="229"/>
    <n v="197"/>
    <n v="29604"/>
    <n v="21809"/>
    <n v="272"/>
    <n v="0.1215714092690177"/>
    <n v="64"/>
    <x v="1"/>
    <n v="3599"/>
  </r>
  <r>
    <s v="SP005"/>
    <s v="YouTube"/>
    <d v="2024-04-06T00:00:00"/>
    <s v="Text"/>
    <s v="Music that moves you-only on Spotify."/>
    <n v="2748"/>
    <n v="145"/>
    <n v="315"/>
    <n v="24401"/>
    <n v="61182"/>
    <n v="200"/>
    <n v="0.1314700217204213"/>
    <n v="54"/>
    <x v="2"/>
    <n v="3208"/>
  </r>
  <r>
    <s v="SP005"/>
    <s v="YouTube"/>
    <d v="2024-04-06T00:00:00"/>
    <s v="Text"/>
    <s v="Music that moves you-only on Spotify."/>
    <n v="2748"/>
    <n v="145"/>
    <n v="315"/>
    <n v="24401"/>
    <n v="61182"/>
    <n v="200"/>
    <n v="0.1314700217204213"/>
    <n v="54"/>
    <x v="4"/>
    <n v="3208"/>
  </r>
  <r>
    <s v="SP006"/>
    <s v="YouTube"/>
    <d v="2024-06-13T00:00:00"/>
    <s v="Text"/>
    <s v="What's your vibe today? #SpotifyHits"/>
    <n v="3882"/>
    <n v="239"/>
    <n v="275"/>
    <n v="58748"/>
    <n v="44646"/>
    <n v="149"/>
    <n v="7.4828079253761837E-2"/>
    <n v="190"/>
    <x v="2"/>
    <n v="4396"/>
  </r>
  <r>
    <s v="SP006"/>
    <s v="YouTube"/>
    <d v="2024-06-13T00:00:00"/>
    <s v="Text"/>
    <s v="What's your vibe today? #SpotifyHits"/>
    <n v="3882"/>
    <n v="239"/>
    <n v="275"/>
    <n v="58748"/>
    <n v="44646"/>
    <n v="149"/>
    <n v="7.4828079253761837E-2"/>
    <n v="190"/>
    <x v="4"/>
    <n v="4396"/>
  </r>
  <r>
    <s v="SP007"/>
    <s v="Twitter"/>
    <d v="2024-12-19T00:00:00"/>
    <s v="Story"/>
    <s v="Get into the groove with our new drop!"/>
    <n v="4674"/>
    <n v="409"/>
    <n v="327"/>
    <n v="20756"/>
    <n v="63599"/>
    <n v="212"/>
    <n v="0.26064752360763155"/>
    <n v="1"/>
    <x v="0"/>
    <n v="5410"/>
  </r>
  <r>
    <s v="SP007"/>
    <s v="Twitter"/>
    <d v="2024-12-19T00:00:00"/>
    <s v="Story"/>
    <s v="Get into the groove with our new drop!"/>
    <n v="4674"/>
    <n v="409"/>
    <n v="327"/>
    <n v="20756"/>
    <n v="63599"/>
    <n v="212"/>
    <n v="0.26064752360763155"/>
    <n v="1"/>
    <x v="1"/>
    <n v="5410"/>
  </r>
  <r>
    <s v="SP008"/>
    <s v="Twitter"/>
    <d v="2024-05-09T00:00:00"/>
    <s v="Story"/>
    <s v="Wrapped is here! Relive your top tracks "/>
    <n v="1428"/>
    <n v="347"/>
    <n v="67"/>
    <n v="21148"/>
    <n v="19712"/>
    <n v="120"/>
    <n v="8.7100435029317191E-2"/>
    <n v="144"/>
    <x v="2"/>
    <n v="1842"/>
  </r>
  <r>
    <s v="SP008"/>
    <s v="Twitter"/>
    <d v="2024-05-09T00:00:00"/>
    <s v="Story"/>
    <s v="Wrapped is here! Relive your top tracks "/>
    <n v="1428"/>
    <n v="347"/>
    <n v="67"/>
    <n v="21148"/>
    <n v="19712"/>
    <n v="120"/>
    <n v="8.7100435029317191E-2"/>
    <n v="144"/>
    <x v="3"/>
    <n v="1842"/>
  </r>
  <r>
    <s v="SP009"/>
    <s v="Twitter"/>
    <d v="2025-06-15T00:00:00"/>
    <s v="Text"/>
    <s v="Top trending tracks updated daily!"/>
    <n v="4432"/>
    <n v="223"/>
    <n v="299"/>
    <n v="59016"/>
    <n v="21742"/>
    <n v="171"/>
    <n v="8.3943337400027115E-2"/>
    <n v="162"/>
    <x v="1"/>
    <n v="4954"/>
  </r>
  <r>
    <s v="SP010"/>
    <s v="Twitter"/>
    <d v="2024-12-04T00:00:00"/>
    <s v="Text"/>
    <s v="Wrapped is here! Relive your top tracks "/>
    <n v="2357"/>
    <n v="274"/>
    <n v="172"/>
    <n v="21566"/>
    <n v="66829"/>
    <n v="284"/>
    <n v="0.12997310581470833"/>
    <n v="56"/>
    <x v="1"/>
    <n v="2803"/>
  </r>
  <r>
    <s v="SP011"/>
    <s v="Twitter"/>
    <d v="2024-03-06T00:00:00"/>
    <s v="Text"/>
    <s v="Discover fresh beats on Spotify!"/>
    <n v="1971"/>
    <n v="370"/>
    <n v="306"/>
    <n v="31316"/>
    <n v="27897"/>
    <n v="88"/>
    <n v="8.4525482181632389E-2"/>
    <n v="158"/>
    <x v="0"/>
    <n v="2647"/>
  </r>
  <r>
    <s v="SP012"/>
    <s v="Instagram"/>
    <d v="2024-05-14T00:00:00"/>
    <s v="Text"/>
    <s v="Discover fresh beats on Spotify!"/>
    <n v="1485"/>
    <n v="353"/>
    <n v="244"/>
    <n v="38419"/>
    <n v="38556"/>
    <n v="86"/>
    <n v="5.4191936281527367E-2"/>
    <n v="241"/>
    <x v="0"/>
    <n v="2082"/>
  </r>
  <r>
    <s v="SP012"/>
    <s v="Instagram"/>
    <d v="2024-05-14T00:00:00"/>
    <s v="Text"/>
    <s v="Discover fresh beats on Spotify!"/>
    <n v="1485"/>
    <n v="353"/>
    <n v="244"/>
    <n v="38419"/>
    <n v="38556"/>
    <n v="86"/>
    <n v="5.4191936281527367E-2"/>
    <n v="241"/>
    <x v="1"/>
    <n v="2082"/>
  </r>
  <r>
    <s v="SP013"/>
    <s v="Twitter"/>
    <d v="2025-06-18T00:00:00"/>
    <s v="Story"/>
    <s v="Discover fresh beats on Spotify!"/>
    <n v="3956"/>
    <n v="319"/>
    <n v="61"/>
    <n v="58162"/>
    <n v="28720"/>
    <n v="213"/>
    <n v="7.4550393727863554E-2"/>
    <n v="191"/>
    <x v="3"/>
    <n v="4336"/>
  </r>
  <r>
    <s v="SP013"/>
    <s v="Twitter"/>
    <d v="2025-06-18T00:00:00"/>
    <s v="Story"/>
    <s v="Discover fresh beats on Spotify!"/>
    <n v="3956"/>
    <n v="319"/>
    <n v="61"/>
    <n v="58162"/>
    <n v="28720"/>
    <n v="213"/>
    <n v="7.4550393727863554E-2"/>
    <n v="191"/>
    <x v="1"/>
    <n v="4336"/>
  </r>
  <r>
    <s v="SP014"/>
    <s v="Twitter"/>
    <d v="2024-10-08T00:00:00"/>
    <s v="Text"/>
    <s v="From pop to podcasts, it's all here."/>
    <n v="2460"/>
    <n v="409"/>
    <n v="253"/>
    <n v="36702"/>
    <n v="46122"/>
    <n v="264"/>
    <n v="8.5063484278785892E-2"/>
    <n v="155"/>
    <x v="1"/>
    <n v="3122"/>
  </r>
  <r>
    <s v="SP015"/>
    <s v="Twitter"/>
    <d v="2024-05-06T00:00:00"/>
    <s v="Text"/>
    <s v="Your weekend playlist is waiting."/>
    <n v="3476"/>
    <n v="355"/>
    <n v="396"/>
    <n v="37492"/>
    <n v="27285"/>
    <n v="179"/>
    <n v="0.11274405206444041"/>
    <n v="75"/>
    <x v="1"/>
    <n v="4227"/>
  </r>
  <r>
    <s v="SP016"/>
    <s v="Twitter"/>
    <d v="2024-12-29T00:00:00"/>
    <s v="Story"/>
    <s v="New music just dropped. Hit play!"/>
    <n v="4049"/>
    <n v="377"/>
    <n v="94"/>
    <n v="48182"/>
    <n v="42875"/>
    <n v="172"/>
    <n v="9.3810966751068869E-2"/>
    <n v="127"/>
    <x v="3"/>
    <n v="4520"/>
  </r>
  <r>
    <s v="SP016"/>
    <s v="Twitter"/>
    <d v="2024-12-29T00:00:00"/>
    <s v="Story"/>
    <s v="New music just dropped. Hit play!"/>
    <n v="4049"/>
    <n v="377"/>
    <n v="94"/>
    <n v="48182"/>
    <n v="42875"/>
    <n v="172"/>
    <n v="9.3810966751068869E-2"/>
    <n v="127"/>
    <x v="1"/>
    <n v="4520"/>
  </r>
  <r>
    <s v="SP017"/>
    <s v="Twitter"/>
    <d v="2024-06-10T00:00:00"/>
    <s v="Text"/>
    <s v="What's your vibe today? #SpotifyHits"/>
    <n v="1514"/>
    <n v="164"/>
    <n v="275"/>
    <n v="41364"/>
    <n v="44389"/>
    <n v="83"/>
    <n v="4.7214969538729328E-2"/>
    <n v="261"/>
    <x v="1"/>
    <n v="1953"/>
  </r>
  <r>
    <s v="SP018"/>
    <s v="Instagram"/>
    <d v="2024-02-03T00:00:00"/>
    <s v="Story"/>
    <s v="Music that moves you-only on Spotify."/>
    <n v="4281"/>
    <n v="101"/>
    <n v="163"/>
    <n v="32278"/>
    <n v="53382"/>
    <n v="235"/>
    <n v="0.1408079806679472"/>
    <n v="46"/>
    <x v="1"/>
    <n v="4545"/>
  </r>
  <r>
    <s v="SP019"/>
    <s v="YouTube"/>
    <d v="2024-06-15T00:00:00"/>
    <s v="Reel"/>
    <s v="Get into the groove with our new drop!"/>
    <n v="1751"/>
    <n v="143"/>
    <n v="151"/>
    <n v="31826"/>
    <n v="47729"/>
    <n v="95"/>
    <n v="6.4255640042732362E-2"/>
    <n v="213"/>
    <x v="2"/>
    <n v="2045"/>
  </r>
  <r>
    <s v="SP019"/>
    <s v="YouTube"/>
    <d v="2024-06-15T00:00:00"/>
    <s v="Reel"/>
    <s v="Get into the groove with our new drop!"/>
    <n v="1751"/>
    <n v="143"/>
    <n v="151"/>
    <n v="31826"/>
    <n v="47729"/>
    <n v="95"/>
    <n v="6.4255640042732362E-2"/>
    <n v="213"/>
    <x v="0"/>
    <n v="2045"/>
  </r>
  <r>
    <s v="SP020"/>
    <s v="Instagram"/>
    <d v="2024-07-05T00:00:00"/>
    <s v="Text"/>
    <s v="Your weekend playlist is waiting."/>
    <n v="3753"/>
    <n v="411"/>
    <n v="308"/>
    <n v="29138"/>
    <n v="27678"/>
    <n v="90"/>
    <n v="0.15347655981879332"/>
    <n v="35"/>
    <x v="2"/>
    <n v="4472"/>
  </r>
  <r>
    <s v="SP021"/>
    <s v="Instagram"/>
    <d v="2024-11-07T00:00:00"/>
    <s v="Story"/>
    <s v="Wrapped is here! Relive your top tracks "/>
    <n v="1678"/>
    <n v="423"/>
    <n v="323"/>
    <n v="55668"/>
    <n v="37945"/>
    <n v="230"/>
    <n v="4.3543867212761371E-2"/>
    <n v="271"/>
    <x v="1"/>
    <n v="2424"/>
  </r>
  <r>
    <s v="SP022"/>
    <s v="Instagram"/>
    <d v="2025-06-15T00:00:00"/>
    <s v="Text"/>
    <s v="What's your vibe today? #SpotifyHits"/>
    <n v="4896"/>
    <n v="466"/>
    <n v="233"/>
    <n v="28621"/>
    <n v="34270"/>
    <n v="84"/>
    <n v="0.19548583208133888"/>
    <n v="6"/>
    <x v="0"/>
    <n v="5595"/>
  </r>
  <r>
    <s v="SP022"/>
    <s v="Instagram"/>
    <d v="2025-06-15T00:00:00"/>
    <s v="Text"/>
    <s v="What's your vibe today? #SpotifyHits"/>
    <n v="4896"/>
    <n v="466"/>
    <n v="233"/>
    <n v="28621"/>
    <n v="34270"/>
    <n v="84"/>
    <n v="0.19548583208133888"/>
    <n v="6"/>
    <x v="1"/>
    <n v="5595"/>
  </r>
  <r>
    <s v="SP023"/>
    <s v="YouTube"/>
    <d v="2024-06-09T00:00:00"/>
    <s v="Reel"/>
    <s v="From pop to podcasts, it's all here."/>
    <n v="2786"/>
    <n v="368"/>
    <n v="208"/>
    <n v="42000"/>
    <n v="39967"/>
    <n v="103"/>
    <n v="8.0047619047619048E-2"/>
    <n v="178"/>
    <x v="2"/>
    <n v="3362"/>
  </r>
  <r>
    <s v="SP023"/>
    <s v="YouTube"/>
    <d v="2024-06-09T00:00:00"/>
    <s v="Reel"/>
    <s v="From pop to podcasts, it's all here."/>
    <n v="2786"/>
    <n v="368"/>
    <n v="208"/>
    <n v="42000"/>
    <n v="39967"/>
    <n v="103"/>
    <n v="8.0047619047619048E-2"/>
    <n v="178"/>
    <x v="0"/>
    <n v="3362"/>
  </r>
  <r>
    <s v="SP024"/>
    <s v="Twitter"/>
    <d v="2024-10-18T00:00:00"/>
    <s v="Text"/>
    <s v="New music just dropped. Hit play!"/>
    <n v="2607"/>
    <n v="379"/>
    <n v="180"/>
    <n v="28712"/>
    <n v="61620"/>
    <n v="174"/>
    <n v="0.11026748397882419"/>
    <n v="83"/>
    <x v="0"/>
    <n v="3166"/>
  </r>
  <r>
    <s v="SP025"/>
    <s v="YouTube"/>
    <d v="2024-10-10T00:00:00"/>
    <s v="Reel"/>
    <s v="From pop to podcasts, it's all here."/>
    <n v="4013"/>
    <n v="320"/>
    <n v="92"/>
    <n v="54605"/>
    <n v="60169"/>
    <n v="232"/>
    <n v="8.1036535115831879E-2"/>
    <n v="174"/>
    <x v="2"/>
    <n v="4425"/>
  </r>
  <r>
    <s v="SP025"/>
    <s v="YouTube"/>
    <d v="2024-10-10T00:00:00"/>
    <s v="Reel"/>
    <s v="From pop to podcasts, it's all here."/>
    <n v="4013"/>
    <n v="320"/>
    <n v="92"/>
    <n v="54605"/>
    <n v="60169"/>
    <n v="232"/>
    <n v="8.1036535115831879E-2"/>
    <n v="174"/>
    <x v="0"/>
    <n v="4425"/>
  </r>
  <r>
    <s v="SP026"/>
    <s v="Twitter"/>
    <d v="2025-05-14T00:00:00"/>
    <s v="Story"/>
    <s v="From pop to podcasts, it's all here."/>
    <n v="2707"/>
    <n v="103"/>
    <n v="51"/>
    <n v="55302"/>
    <n v="18801"/>
    <n v="147"/>
    <n v="5.173411449857148E-2"/>
    <n v="251"/>
    <x v="2"/>
    <n v="2861"/>
  </r>
  <r>
    <s v="SP026"/>
    <s v="Twitter"/>
    <d v="2025-05-14T00:00:00"/>
    <s v="Story"/>
    <s v="From pop to podcasts, it's all here."/>
    <n v="2707"/>
    <n v="103"/>
    <n v="51"/>
    <n v="55302"/>
    <n v="18801"/>
    <n v="147"/>
    <n v="5.173411449857148E-2"/>
    <n v="251"/>
    <x v="3"/>
    <n v="2861"/>
  </r>
  <r>
    <s v="SP027"/>
    <s v="Instagram"/>
    <d v="2024-11-29T00:00:00"/>
    <s v="Text"/>
    <s v="What's your vibe today? #SpotifyHits"/>
    <n v="2824"/>
    <n v="425"/>
    <n v="274"/>
    <n v="31004"/>
    <n v="53488"/>
    <n v="268"/>
    <n v="0.11363049929041415"/>
    <n v="73"/>
    <x v="0"/>
    <n v="3523"/>
  </r>
  <r>
    <s v="SP027"/>
    <s v="Instagram"/>
    <d v="2024-11-29T00:00:00"/>
    <s v="Text"/>
    <s v="What's your vibe today? #SpotifyHits"/>
    <n v="2824"/>
    <n v="425"/>
    <n v="274"/>
    <n v="31004"/>
    <n v="53488"/>
    <n v="268"/>
    <n v="0.11363049929041415"/>
    <n v="73"/>
    <x v="1"/>
    <n v="3523"/>
  </r>
  <r>
    <s v="SP028"/>
    <s v="YouTube"/>
    <d v="2024-03-05T00:00:00"/>
    <s v="Reel"/>
    <s v="Explore the latest podcasts now."/>
    <n v="3558"/>
    <n v="314"/>
    <n v="199"/>
    <n v="49612"/>
    <n v="53929"/>
    <n v="206"/>
    <n v="8.205676046117874E-2"/>
    <n v="169"/>
    <x v="2"/>
    <n v="4071"/>
  </r>
  <r>
    <s v="SP028"/>
    <s v="YouTube"/>
    <d v="2024-03-05T00:00:00"/>
    <s v="Reel"/>
    <s v="Explore the latest podcasts now."/>
    <n v="3558"/>
    <n v="314"/>
    <n v="199"/>
    <n v="49612"/>
    <n v="53929"/>
    <n v="206"/>
    <n v="8.205676046117874E-2"/>
    <n v="169"/>
    <x v="0"/>
    <n v="4071"/>
  </r>
  <r>
    <s v="SP029"/>
    <s v="Twitter"/>
    <d v="2025-03-18T00:00:00"/>
    <s v="Story"/>
    <s v="Explore the latest podcasts now."/>
    <n v="3418"/>
    <n v="188"/>
    <n v="387"/>
    <n v="57431"/>
    <n v="36933"/>
    <n v="202"/>
    <n v="6.9526910553533799E-2"/>
    <n v="203"/>
    <x v="3"/>
    <n v="3993"/>
  </r>
  <r>
    <s v="SP029"/>
    <s v="Twitter"/>
    <d v="2025-03-18T00:00:00"/>
    <s v="Story"/>
    <s v="Explore the latest podcasts now."/>
    <n v="3418"/>
    <n v="188"/>
    <n v="387"/>
    <n v="57431"/>
    <n v="36933"/>
    <n v="202"/>
    <n v="6.9526910553533799E-2"/>
    <n v="203"/>
    <x v="1"/>
    <n v="3993"/>
  </r>
  <r>
    <s v="SP030"/>
    <s v="Twitter"/>
    <d v="2025-04-26T00:00:00"/>
    <s v="Text"/>
    <s v="Discover fresh beats on Spotify!"/>
    <n v="2411"/>
    <n v="194"/>
    <n v="168"/>
    <n v="26665"/>
    <n v="71699"/>
    <n v="197"/>
    <n v="0.10399399962497656"/>
    <n v="101"/>
    <x v="1"/>
    <n v="2773"/>
  </r>
  <r>
    <s v="SP031"/>
    <s v="Instagram"/>
    <d v="2025-01-01T00:00:00"/>
    <s v="Text"/>
    <s v="New music just dropped. Hit play!"/>
    <n v="4036"/>
    <n v="112"/>
    <n v="382"/>
    <n v="56284"/>
    <n v="29440"/>
    <n v="279"/>
    <n v="8.0484684812735408E-2"/>
    <n v="176"/>
    <x v="0"/>
    <n v="4530"/>
  </r>
  <r>
    <s v="SP031"/>
    <s v="Instagram"/>
    <d v="2025-01-01T00:00:00"/>
    <s v="Text"/>
    <s v="New music just dropped. Hit play!"/>
    <n v="4036"/>
    <n v="112"/>
    <n v="382"/>
    <n v="56284"/>
    <n v="29440"/>
    <n v="279"/>
    <n v="8.0484684812735408E-2"/>
    <n v="176"/>
    <x v="1"/>
    <n v="4530"/>
  </r>
  <r>
    <s v="SP032"/>
    <s v="Twitter"/>
    <d v="2024-05-07T00:00:00"/>
    <s v="Story"/>
    <s v="Explore the latest podcasts now."/>
    <n v="2776"/>
    <n v="307"/>
    <n v="178"/>
    <n v="43365"/>
    <n v="48408"/>
    <n v="138"/>
    <n v="7.519889311656866E-2"/>
    <n v="187"/>
    <x v="0"/>
    <n v="3261"/>
  </r>
  <r>
    <s v="SP032"/>
    <s v="Twitter"/>
    <d v="2024-05-07T00:00:00"/>
    <s v="Story"/>
    <s v="Explore the latest podcasts now."/>
    <n v="2776"/>
    <n v="307"/>
    <n v="178"/>
    <n v="43365"/>
    <n v="48408"/>
    <n v="138"/>
    <n v="7.519889311656866E-2"/>
    <n v="187"/>
    <x v="1"/>
    <n v="3261"/>
  </r>
  <r>
    <s v="SP033"/>
    <s v="Twitter"/>
    <d v="2024-10-09T00:00:00"/>
    <s v="Story"/>
    <s v="Discover fresh beats on Spotify!"/>
    <n v="4929"/>
    <n v="182"/>
    <n v="95"/>
    <n v="32181"/>
    <n v="31084"/>
    <n v="289"/>
    <n v="0.16177247444144061"/>
    <n v="25"/>
    <x v="2"/>
    <n v="5206"/>
  </r>
  <r>
    <s v="SP033"/>
    <s v="Twitter"/>
    <d v="2024-10-09T00:00:00"/>
    <s v="Story"/>
    <s v="Discover fresh beats on Spotify!"/>
    <n v="4929"/>
    <n v="182"/>
    <n v="95"/>
    <n v="32181"/>
    <n v="31084"/>
    <n v="289"/>
    <n v="0.16177247444144061"/>
    <n v="25"/>
    <x v="3"/>
    <n v="5206"/>
  </r>
  <r>
    <s v="SP034"/>
    <s v="Instagram"/>
    <d v="2025-01-09T00:00:00"/>
    <s v="Text"/>
    <s v="New music just dropped. Hit play!"/>
    <n v="1015"/>
    <n v="366"/>
    <n v="308"/>
    <n v="38127"/>
    <n v="63790"/>
    <n v="287"/>
    <n v="4.4299315445747112E-2"/>
    <n v="268"/>
    <x v="0"/>
    <n v="1689"/>
  </r>
  <r>
    <s v="SP034"/>
    <s v="Instagram"/>
    <d v="2025-01-09T00:00:00"/>
    <s v="Text"/>
    <s v="New music just dropped. Hit play!"/>
    <n v="1015"/>
    <n v="366"/>
    <n v="308"/>
    <n v="38127"/>
    <n v="63790"/>
    <n v="287"/>
    <n v="4.4299315445747112E-2"/>
    <n v="268"/>
    <x v="1"/>
    <n v="1689"/>
  </r>
  <r>
    <s v="SP035"/>
    <s v="Twitter"/>
    <d v="2025-05-08T00:00:00"/>
    <s v="Story"/>
    <s v="Your weekend playlist is waiting."/>
    <n v="3316"/>
    <n v="332"/>
    <n v="268"/>
    <n v="40095"/>
    <n v="36913"/>
    <n v="265"/>
    <n v="9.7668038408779148E-2"/>
    <n v="116"/>
    <x v="3"/>
    <n v="3916"/>
  </r>
  <r>
    <s v="SP035"/>
    <s v="Twitter"/>
    <d v="2025-05-08T00:00:00"/>
    <s v="Story"/>
    <s v="Your weekend playlist is waiting."/>
    <n v="3316"/>
    <n v="332"/>
    <n v="268"/>
    <n v="40095"/>
    <n v="36913"/>
    <n v="265"/>
    <n v="9.7668038408779148E-2"/>
    <n v="116"/>
    <x v="1"/>
    <n v="3916"/>
  </r>
  <r>
    <s v="SP036"/>
    <s v="Instagram"/>
    <d v="2024-05-04T00:00:00"/>
    <s v="Text"/>
    <s v="Wrapped is here! Relive your top tracks "/>
    <n v="2274"/>
    <n v="243"/>
    <n v="222"/>
    <n v="43066"/>
    <n v="59174"/>
    <n v="80"/>
    <n v="6.3600055728416843E-2"/>
    <n v="215"/>
    <x v="2"/>
    <n v="2739"/>
  </r>
  <r>
    <s v="SP037"/>
    <s v="Twitter"/>
    <d v="2025-05-27T00:00:00"/>
    <s v="Story"/>
    <s v="Explore the latest podcasts now."/>
    <n v="4095"/>
    <n v="385"/>
    <n v="400"/>
    <n v="45300"/>
    <n v="31795"/>
    <n v="80"/>
    <n v="0.10772626931567329"/>
    <n v="89"/>
    <x v="3"/>
    <n v="4880"/>
  </r>
  <r>
    <s v="SP037"/>
    <s v="Twitter"/>
    <d v="2025-05-27T00:00:00"/>
    <s v="Story"/>
    <s v="Explore the latest podcasts now."/>
    <n v="4095"/>
    <n v="385"/>
    <n v="400"/>
    <n v="45300"/>
    <n v="31795"/>
    <n v="80"/>
    <n v="0.10772626931567329"/>
    <n v="89"/>
    <x v="1"/>
    <n v="4880"/>
  </r>
  <r>
    <s v="SP038"/>
    <s v="Instagram"/>
    <d v="2024-09-10T00:00:00"/>
    <s v="Story"/>
    <s v="New music just dropped. Hit play!"/>
    <n v="1230"/>
    <n v="309"/>
    <n v="207"/>
    <n v="44629"/>
    <n v="40699"/>
    <n v="195"/>
    <n v="3.9122543637545096E-2"/>
    <n v="280"/>
    <x v="1"/>
    <n v="1746"/>
  </r>
  <r>
    <s v="SP039"/>
    <s v="Instagram"/>
    <d v="2024-11-25T00:00:00"/>
    <s v="Text"/>
    <s v="From pop to podcasts, it's all here."/>
    <n v="1341"/>
    <n v="472"/>
    <n v="238"/>
    <n v="51386"/>
    <n v="51706"/>
    <n v="133"/>
    <n v="3.9913595142645857E-2"/>
    <n v="277"/>
    <x v="2"/>
    <n v="2051"/>
  </r>
  <r>
    <s v="SP040"/>
    <s v="Twitter"/>
    <d v="2025-06-10T00:00:00"/>
    <s v="Text"/>
    <s v="Explore the latest podcasts now."/>
    <n v="3615"/>
    <n v="192"/>
    <n v="162"/>
    <n v="27492"/>
    <n v="35341"/>
    <n v="125"/>
    <n v="0.14436927106067218"/>
    <n v="42"/>
    <x v="1"/>
    <n v="3969"/>
  </r>
  <r>
    <s v="SP041"/>
    <s v="Instagram"/>
    <d v="2024-04-19T00:00:00"/>
    <s v="Text"/>
    <s v="New music just dropped. Hit play!"/>
    <n v="4001"/>
    <n v="353"/>
    <n v="129"/>
    <n v="41265"/>
    <n v="37279"/>
    <n v="275"/>
    <n v="0.10863928268508422"/>
    <n v="87"/>
    <x v="0"/>
    <n v="4483"/>
  </r>
  <r>
    <s v="SP041"/>
    <s v="Instagram"/>
    <d v="2024-04-19T00:00:00"/>
    <s v="Text"/>
    <s v="New music just dropped. Hit play!"/>
    <n v="4001"/>
    <n v="353"/>
    <n v="129"/>
    <n v="41265"/>
    <n v="37279"/>
    <n v="275"/>
    <n v="0.10863928268508422"/>
    <n v="87"/>
    <x v="1"/>
    <n v="4483"/>
  </r>
  <r>
    <s v="SP042"/>
    <s v="Instagram"/>
    <d v="2025-01-26T00:00:00"/>
    <s v="Story"/>
    <s v="What's your vibe today? #SpotifyHits"/>
    <n v="3451"/>
    <n v="363"/>
    <n v="393"/>
    <n v="44853"/>
    <n v="69032"/>
    <n v="211"/>
    <n v="9.379528682585335E-2"/>
    <n v="128"/>
    <x v="1"/>
    <n v="4207"/>
  </r>
  <r>
    <s v="SP043"/>
    <s v="Instagram"/>
    <d v="2025-02-14T00:00:00"/>
    <s v="Text"/>
    <s v="Top trending tracks updated daily!"/>
    <n v="4891"/>
    <n v="450"/>
    <n v="387"/>
    <n v="48746"/>
    <n v="37312"/>
    <n v="154"/>
    <n v="0.11750707750379519"/>
    <n v="66"/>
    <x v="0"/>
    <n v="5728"/>
  </r>
  <r>
    <s v="SP043"/>
    <s v="Instagram"/>
    <d v="2025-02-14T00:00:00"/>
    <s v="Text"/>
    <s v="Top trending tracks updated daily!"/>
    <n v="4891"/>
    <n v="450"/>
    <n v="387"/>
    <n v="48746"/>
    <n v="37312"/>
    <n v="154"/>
    <n v="0.11750707750379519"/>
    <n v="66"/>
    <x v="1"/>
    <n v="5728"/>
  </r>
  <r>
    <s v="SP044"/>
    <s v="Instagram"/>
    <d v="2024-09-06T00:00:00"/>
    <s v="Text"/>
    <s v="New music just dropped. Hit play!"/>
    <n v="1452"/>
    <n v="281"/>
    <n v="326"/>
    <n v="51556"/>
    <n v="62599"/>
    <n v="290"/>
    <n v="3.9937155714174881E-2"/>
    <n v="276"/>
    <x v="2"/>
    <n v="2059"/>
  </r>
  <r>
    <s v="SP045"/>
    <s v="YouTube"/>
    <d v="2024-07-14T00:00:00"/>
    <s v="Text"/>
    <s v="Your weekend playlist is waiting."/>
    <n v="3806"/>
    <n v="114"/>
    <n v="278"/>
    <n v="36148"/>
    <n v="24209"/>
    <n v="201"/>
    <n v="0.11613367267898639"/>
    <n v="70"/>
    <x v="2"/>
    <n v="4198"/>
  </r>
  <r>
    <s v="SP045"/>
    <s v="YouTube"/>
    <d v="2024-07-14T00:00:00"/>
    <s v="Text"/>
    <s v="Your weekend playlist is waiting."/>
    <n v="3806"/>
    <n v="114"/>
    <n v="278"/>
    <n v="36148"/>
    <n v="24209"/>
    <n v="201"/>
    <n v="0.11613367267898639"/>
    <n v="70"/>
    <x v="4"/>
    <n v="4198"/>
  </r>
  <r>
    <s v="SP046"/>
    <s v="Instagram"/>
    <d v="2024-02-12T00:00:00"/>
    <s v="Text"/>
    <s v="Explore the latest podcasts now."/>
    <n v="2923"/>
    <n v="330"/>
    <n v="250"/>
    <n v="23993"/>
    <n v="74590"/>
    <n v="92"/>
    <n v="0.14600091693410577"/>
    <n v="40"/>
    <x v="2"/>
    <n v="3503"/>
  </r>
  <r>
    <s v="SP047"/>
    <s v="YouTube"/>
    <d v="2024-03-14T00:00:00"/>
    <s v="Reel"/>
    <s v="From pop to podcasts, it's all here."/>
    <n v="3361"/>
    <n v="188"/>
    <n v="358"/>
    <n v="39838"/>
    <n v="24536"/>
    <n v="120"/>
    <n v="9.8072192379135503E-2"/>
    <n v="113"/>
    <x v="2"/>
    <n v="3907"/>
  </r>
  <r>
    <s v="SP047"/>
    <s v="YouTube"/>
    <d v="2024-03-14T00:00:00"/>
    <s v="Reel"/>
    <s v="From pop to podcasts, it's all here."/>
    <n v="3361"/>
    <n v="188"/>
    <n v="358"/>
    <n v="39838"/>
    <n v="24536"/>
    <n v="120"/>
    <n v="9.8072192379135503E-2"/>
    <n v="113"/>
    <x v="0"/>
    <n v="3907"/>
  </r>
  <r>
    <s v="SP048"/>
    <s v="Instagram"/>
    <d v="2025-02-05T00:00:00"/>
    <s v="Story"/>
    <s v="Music that moves you-only on Spotify."/>
    <n v="3074"/>
    <n v="371"/>
    <n v="348"/>
    <n v="24104"/>
    <n v="57803"/>
    <n v="213"/>
    <n v="0.15735977431131762"/>
    <n v="30"/>
    <x v="1"/>
    <n v="3793"/>
  </r>
  <r>
    <s v="SP049"/>
    <s v="Twitter"/>
    <d v="2024-08-29T00:00:00"/>
    <s v="Story"/>
    <s v="Get into the groove with our new drop!"/>
    <n v="4276"/>
    <n v="227"/>
    <n v="223"/>
    <n v="43443"/>
    <n v="41005"/>
    <n v="191"/>
    <n v="0.1087862256289851"/>
    <n v="86"/>
    <x v="2"/>
    <n v="4726"/>
  </r>
  <r>
    <s v="SP049"/>
    <s v="Twitter"/>
    <d v="2024-08-29T00:00:00"/>
    <s v="Story"/>
    <s v="Get into the groove with our new drop!"/>
    <n v="4276"/>
    <n v="227"/>
    <n v="223"/>
    <n v="43443"/>
    <n v="41005"/>
    <n v="191"/>
    <n v="0.1087862256289851"/>
    <n v="86"/>
    <x v="3"/>
    <n v="4726"/>
  </r>
  <r>
    <s v="SP050"/>
    <s v="Twitter"/>
    <d v="2025-04-22T00:00:00"/>
    <s v="Text"/>
    <s v="Discover fresh beats on Spotify!"/>
    <n v="4401"/>
    <n v="421"/>
    <n v="216"/>
    <n v="24890"/>
    <n v="54361"/>
    <n v="148"/>
    <n v="0.20241060666934513"/>
    <n v="5"/>
    <x v="1"/>
    <n v="5038"/>
  </r>
  <r>
    <s v="SP051"/>
    <s v="YouTube"/>
    <d v="2024-05-13T00:00:00"/>
    <s v="Reel"/>
    <s v="Explore the latest podcasts now."/>
    <n v="4161"/>
    <n v="481"/>
    <n v="61"/>
    <n v="45884"/>
    <n v="48955"/>
    <n v="215"/>
    <n v="0.10249760265016128"/>
    <n v="104"/>
    <x v="2"/>
    <n v="4703"/>
  </r>
  <r>
    <s v="SP051"/>
    <s v="YouTube"/>
    <d v="2024-05-13T00:00:00"/>
    <s v="Reel"/>
    <s v="Explore the latest podcasts now."/>
    <n v="4161"/>
    <n v="481"/>
    <n v="61"/>
    <n v="45884"/>
    <n v="48955"/>
    <n v="215"/>
    <n v="0.10249760265016128"/>
    <n v="104"/>
    <x v="0"/>
    <n v="4703"/>
  </r>
  <r>
    <s v="SP052"/>
    <s v="Twitter"/>
    <d v="2024-09-04T00:00:00"/>
    <s v="Story"/>
    <s v="New music just dropped. Hit play!"/>
    <n v="2613"/>
    <n v="455"/>
    <n v="228"/>
    <n v="21645"/>
    <n v="61334"/>
    <n v="261"/>
    <n v="0.15227535227535227"/>
    <n v="36"/>
    <x v="2"/>
    <n v="3296"/>
  </r>
  <r>
    <s v="SP052"/>
    <s v="Twitter"/>
    <d v="2024-09-04T00:00:00"/>
    <s v="Story"/>
    <s v="New music just dropped. Hit play!"/>
    <n v="2613"/>
    <n v="455"/>
    <n v="228"/>
    <n v="21645"/>
    <n v="61334"/>
    <n v="261"/>
    <n v="0.15227535227535227"/>
    <n v="36"/>
    <x v="3"/>
    <n v="3296"/>
  </r>
  <r>
    <s v="SP053"/>
    <s v="Twitter"/>
    <d v="2024-08-12T00:00:00"/>
    <s v="Story"/>
    <s v="What's your vibe today? #SpotifyHits"/>
    <n v="2842"/>
    <n v="213"/>
    <n v="331"/>
    <n v="57660"/>
    <n v="68606"/>
    <n v="87"/>
    <n v="5.8723551855705859E-2"/>
    <n v="228"/>
    <x v="3"/>
    <n v="3386"/>
  </r>
  <r>
    <s v="SP053"/>
    <s v="Twitter"/>
    <d v="2024-08-12T00:00:00"/>
    <s v="Story"/>
    <s v="What's your vibe today? #SpotifyHits"/>
    <n v="2842"/>
    <n v="213"/>
    <n v="331"/>
    <n v="57660"/>
    <n v="68606"/>
    <n v="87"/>
    <n v="5.8723551855705859E-2"/>
    <n v="228"/>
    <x v="1"/>
    <n v="3386"/>
  </r>
  <r>
    <s v="SP054"/>
    <s v="Instagram"/>
    <d v="2025-03-06T00:00:00"/>
    <s v="Text"/>
    <s v="Get into the groove with our new drop!"/>
    <n v="4851"/>
    <n v="460"/>
    <n v="212"/>
    <n v="58075"/>
    <n v="59574"/>
    <n v="239"/>
    <n v="9.5101162290142052E-2"/>
    <n v="119"/>
    <x v="2"/>
    <n v="5523"/>
  </r>
  <r>
    <s v="SP055"/>
    <s v="Twitter"/>
    <d v="2024-05-08T00:00:00"/>
    <s v="Text"/>
    <s v="Explore the latest podcasts now."/>
    <n v="1828"/>
    <n v="450"/>
    <n v="214"/>
    <n v="52115"/>
    <n v="19166"/>
    <n v="190"/>
    <n v="4.781732706514439E-2"/>
    <n v="259"/>
    <x v="1"/>
    <n v="2492"/>
  </r>
  <r>
    <s v="SP056"/>
    <s v="Instagram"/>
    <d v="2025-02-19T00:00:00"/>
    <s v="Story"/>
    <s v="From pop to podcasts, it's all here."/>
    <n v="2422"/>
    <n v="455"/>
    <n v="376"/>
    <n v="23428"/>
    <n v="46775"/>
    <n v="259"/>
    <n v="0.13885094758408742"/>
    <n v="48"/>
    <x v="1"/>
    <n v="3253"/>
  </r>
  <r>
    <s v="SP057"/>
    <s v="Instagram"/>
    <d v="2024-01-08T00:00:00"/>
    <s v="Text"/>
    <s v="Top trending tracks updated daily!"/>
    <n v="2683"/>
    <n v="405"/>
    <n v="223"/>
    <n v="31233"/>
    <n v="58106"/>
    <n v="291"/>
    <n v="0.10600966926007749"/>
    <n v="95"/>
    <x v="2"/>
    <n v="3311"/>
  </r>
  <r>
    <s v="SP058"/>
    <s v="YouTube"/>
    <d v="2024-07-17T00:00:00"/>
    <s v="Text"/>
    <s v="Top trending tracks updated daily!"/>
    <n v="3135"/>
    <n v="110"/>
    <n v="215"/>
    <n v="39192"/>
    <n v="24744"/>
    <n v="177"/>
    <n v="8.8283323127168814E-2"/>
    <n v="141"/>
    <x v="2"/>
    <n v="3460"/>
  </r>
  <r>
    <s v="SP058"/>
    <s v="YouTube"/>
    <d v="2024-07-17T00:00:00"/>
    <s v="Text"/>
    <s v="Top trending tracks updated daily!"/>
    <n v="3135"/>
    <n v="110"/>
    <n v="215"/>
    <n v="39192"/>
    <n v="24744"/>
    <n v="177"/>
    <n v="8.8283323127168814E-2"/>
    <n v="141"/>
    <x v="4"/>
    <n v="3460"/>
  </r>
  <r>
    <s v="SP059"/>
    <s v="YouTube"/>
    <d v="2024-08-10T00:00:00"/>
    <s v="Text"/>
    <s v="From pop to podcasts, it's all here."/>
    <n v="1105"/>
    <n v="181"/>
    <n v="55"/>
    <n v="53581"/>
    <n v="74048"/>
    <n v="220"/>
    <n v="2.50275284149232E-2"/>
    <n v="300"/>
    <x v="2"/>
    <n v="1341"/>
  </r>
  <r>
    <s v="SP059"/>
    <s v="YouTube"/>
    <d v="2024-08-10T00:00:00"/>
    <s v="Text"/>
    <s v="From pop to podcasts, it's all here."/>
    <n v="1105"/>
    <n v="181"/>
    <n v="55"/>
    <n v="53581"/>
    <n v="74048"/>
    <n v="220"/>
    <n v="2.50275284149232E-2"/>
    <n v="300"/>
    <x v="4"/>
    <n v="1341"/>
  </r>
  <r>
    <s v="SP060"/>
    <s v="YouTube"/>
    <d v="2024-04-16T00:00:00"/>
    <s v="Text"/>
    <s v="Discover fresh beats on Spotify!"/>
    <n v="4674"/>
    <n v="326"/>
    <n v="62"/>
    <n v="45503"/>
    <n v="46814"/>
    <n v="116"/>
    <n v="0.11124541239039185"/>
    <n v="79"/>
    <x v="2"/>
    <n v="5062"/>
  </r>
  <r>
    <s v="SP060"/>
    <s v="YouTube"/>
    <d v="2024-04-16T00:00:00"/>
    <s v="Text"/>
    <s v="Discover fresh beats on Spotify!"/>
    <n v="4674"/>
    <n v="326"/>
    <n v="62"/>
    <n v="45503"/>
    <n v="46814"/>
    <n v="116"/>
    <n v="0.11124541239039185"/>
    <n v="79"/>
    <x v="4"/>
    <n v="5062"/>
  </r>
  <r>
    <s v="SP061"/>
    <s v="YouTube"/>
    <d v="2024-01-01T00:00:00"/>
    <s v="Reel"/>
    <s v="Explore the latest podcasts now."/>
    <n v="3437"/>
    <n v="129"/>
    <n v="359"/>
    <n v="44558"/>
    <n v="30854"/>
    <n v="171"/>
    <n v="8.8087436599488311E-2"/>
    <n v="143"/>
    <x v="2"/>
    <n v="3925"/>
  </r>
  <r>
    <s v="SP061"/>
    <s v="YouTube"/>
    <d v="2024-01-01T00:00:00"/>
    <s v="Reel"/>
    <s v="Explore the latest podcasts now."/>
    <n v="3437"/>
    <n v="129"/>
    <n v="359"/>
    <n v="44558"/>
    <n v="30854"/>
    <n v="171"/>
    <n v="8.8087436599488311E-2"/>
    <n v="143"/>
    <x v="0"/>
    <n v="3925"/>
  </r>
  <r>
    <s v="SP062"/>
    <s v="Twitter"/>
    <d v="2024-11-03T00:00:00"/>
    <s v="Story"/>
    <s v="Wrapped is here! Relive your top tracks "/>
    <n v="1959"/>
    <n v="316"/>
    <n v="82"/>
    <n v="54036"/>
    <n v="69015"/>
    <n v="182"/>
    <n v="4.3619068768968837E-2"/>
    <n v="270"/>
    <x v="3"/>
    <n v="2357"/>
  </r>
  <r>
    <s v="SP062"/>
    <s v="Twitter"/>
    <d v="2024-11-03T00:00:00"/>
    <s v="Story"/>
    <s v="Wrapped is here! Relive your top tracks "/>
    <n v="1959"/>
    <n v="316"/>
    <n v="82"/>
    <n v="54036"/>
    <n v="69015"/>
    <n v="182"/>
    <n v="4.3619068768968837E-2"/>
    <n v="270"/>
    <x v="1"/>
    <n v="2357"/>
  </r>
  <r>
    <s v="SP063"/>
    <s v="Twitter"/>
    <d v="2024-07-07T00:00:00"/>
    <s v="Text"/>
    <s v="New music just dropped. Hit play!"/>
    <n v="1035"/>
    <n v="137"/>
    <n v="184"/>
    <n v="37302"/>
    <n v="68953"/>
    <n v="237"/>
    <n v="3.6351938233874857E-2"/>
    <n v="282"/>
    <x v="0"/>
    <n v="1356"/>
  </r>
  <r>
    <s v="SP064"/>
    <s v="Twitter"/>
    <d v="2025-01-22T00:00:00"/>
    <s v="Story"/>
    <s v="New music just dropped. Hit play!"/>
    <n v="4478"/>
    <n v="101"/>
    <n v="121"/>
    <n v="51035"/>
    <n v="58207"/>
    <n v="205"/>
    <n v="9.2093661212893113E-2"/>
    <n v="135"/>
    <x v="3"/>
    <n v="4700"/>
  </r>
  <r>
    <s v="SP064"/>
    <s v="Twitter"/>
    <d v="2025-01-22T00:00:00"/>
    <s v="Story"/>
    <s v="New music just dropped. Hit play!"/>
    <n v="4478"/>
    <n v="101"/>
    <n v="121"/>
    <n v="51035"/>
    <n v="58207"/>
    <n v="205"/>
    <n v="9.2093661212893113E-2"/>
    <n v="135"/>
    <x v="1"/>
    <n v="4700"/>
  </r>
  <r>
    <s v="SP065"/>
    <s v="YouTube"/>
    <d v="2024-05-26T00:00:00"/>
    <s v="Text"/>
    <s v="From pop to podcasts, it's all here."/>
    <n v="1488"/>
    <n v="327"/>
    <n v="110"/>
    <n v="53805"/>
    <n v="30239"/>
    <n v="109"/>
    <n v="3.5777344113000653E-2"/>
    <n v="285"/>
    <x v="2"/>
    <n v="1925"/>
  </r>
  <r>
    <s v="SP065"/>
    <s v="YouTube"/>
    <d v="2024-05-26T00:00:00"/>
    <s v="Text"/>
    <s v="From pop to podcasts, it's all here."/>
    <n v="1488"/>
    <n v="327"/>
    <n v="110"/>
    <n v="53805"/>
    <n v="30239"/>
    <n v="109"/>
    <n v="3.5777344113000653E-2"/>
    <n v="285"/>
    <x v="4"/>
    <n v="1925"/>
  </r>
  <r>
    <s v="SP066"/>
    <s v="Instagram"/>
    <d v="2025-04-16T00:00:00"/>
    <s v="Text"/>
    <s v="Wrapped is here! Relive your top tracks "/>
    <n v="4836"/>
    <n v="331"/>
    <n v="140"/>
    <n v="58792"/>
    <n v="47711"/>
    <n v="227"/>
    <n v="9.0267383317458164E-2"/>
    <n v="138"/>
    <x v="0"/>
    <n v="5307"/>
  </r>
  <r>
    <s v="SP066"/>
    <s v="Instagram"/>
    <d v="2025-04-16T00:00:00"/>
    <s v="Text"/>
    <s v="Wrapped is here! Relive your top tracks "/>
    <n v="4836"/>
    <n v="331"/>
    <n v="140"/>
    <n v="58792"/>
    <n v="47711"/>
    <n v="227"/>
    <n v="9.0267383317458164E-2"/>
    <n v="138"/>
    <x v="1"/>
    <n v="5307"/>
  </r>
  <r>
    <s v="SP067"/>
    <s v="YouTube"/>
    <d v="2024-04-02T00:00:00"/>
    <s v="Reel"/>
    <s v="Your weekend playlist is waiting."/>
    <n v="4563"/>
    <n v="488"/>
    <n v="356"/>
    <n v="30619"/>
    <n v="23328"/>
    <n v="267"/>
    <n v="0.17658969920637513"/>
    <n v="14"/>
    <x v="2"/>
    <n v="5407"/>
  </r>
  <r>
    <s v="SP067"/>
    <s v="YouTube"/>
    <d v="2024-04-02T00:00:00"/>
    <s v="Reel"/>
    <s v="Your weekend playlist is waiting."/>
    <n v="4563"/>
    <n v="488"/>
    <n v="356"/>
    <n v="30619"/>
    <n v="23328"/>
    <n v="267"/>
    <n v="0.17658969920637513"/>
    <n v="14"/>
    <x v="0"/>
    <n v="5407"/>
  </r>
  <r>
    <s v="SP068"/>
    <s v="Twitter"/>
    <d v="2024-03-28T00:00:00"/>
    <s v="Text"/>
    <s v="Music that moves you-only on Spotify."/>
    <n v="3276"/>
    <n v="421"/>
    <n v="114"/>
    <n v="20580"/>
    <n v="30324"/>
    <n v="221"/>
    <n v="0.18517978620019437"/>
    <n v="10"/>
    <x v="0"/>
    <n v="3811"/>
  </r>
  <r>
    <s v="SP069"/>
    <s v="Twitter"/>
    <d v="2024-12-17T00:00:00"/>
    <s v="Story"/>
    <s v="Music that moves you-only on Spotify."/>
    <n v="1316"/>
    <n v="472"/>
    <n v="286"/>
    <n v="44692"/>
    <n v="53343"/>
    <n v="227"/>
    <n v="4.6406515707509172E-2"/>
    <n v="263"/>
    <x v="2"/>
    <n v="2074"/>
  </r>
  <r>
    <s v="SP069"/>
    <s v="Twitter"/>
    <d v="2024-12-17T00:00:00"/>
    <s v="Story"/>
    <s v="Music that moves you-only on Spotify."/>
    <n v="1316"/>
    <n v="472"/>
    <n v="286"/>
    <n v="44692"/>
    <n v="53343"/>
    <n v="227"/>
    <n v="4.6406515707509172E-2"/>
    <n v="263"/>
    <x v="3"/>
    <n v="2074"/>
  </r>
  <r>
    <s v="SP070"/>
    <s v="Twitter"/>
    <d v="2025-01-05T00:00:00"/>
    <s v="Text"/>
    <s v="Wrapped is here! Relive your top tracks "/>
    <n v="4811"/>
    <n v="473"/>
    <n v="254"/>
    <n v="51964"/>
    <n v="68795"/>
    <n v="107"/>
    <n v="0.10657378184897237"/>
    <n v="93"/>
    <x v="1"/>
    <n v="5538"/>
  </r>
  <r>
    <s v="SP071"/>
    <s v="Twitter"/>
    <d v="2024-01-11T00:00:00"/>
    <s v="Text"/>
    <s v="What's your vibe today? #SpotifyHits"/>
    <n v="4218"/>
    <n v="247"/>
    <n v="183"/>
    <n v="28914"/>
    <n v="18310"/>
    <n v="135"/>
    <n v="0.1607525766064882"/>
    <n v="28"/>
    <x v="0"/>
    <n v="4648"/>
  </r>
  <r>
    <s v="SP072"/>
    <s v="Instagram"/>
    <d v="2024-10-11T00:00:00"/>
    <s v="Text"/>
    <s v="From pop to podcasts, it's all here."/>
    <n v="1360"/>
    <n v="249"/>
    <n v="52"/>
    <n v="20368"/>
    <n v="42152"/>
    <n v="193"/>
    <n v="8.1549489395129612E-2"/>
    <n v="171"/>
    <x v="2"/>
    <n v="1661"/>
  </r>
  <r>
    <s v="SP073"/>
    <s v="YouTube"/>
    <d v="2025-05-06T00:00:00"/>
    <s v="Reel"/>
    <s v="Discover fresh beats on Spotify!"/>
    <n v="1085"/>
    <n v="496"/>
    <n v="320"/>
    <n v="36528"/>
    <n v="38599"/>
    <n v="270"/>
    <n v="5.2042268944371438E-2"/>
    <n v="247"/>
    <x v="2"/>
    <n v="1901"/>
  </r>
  <r>
    <s v="SP073"/>
    <s v="YouTube"/>
    <d v="2025-05-06T00:00:00"/>
    <s v="Reel"/>
    <s v="Discover fresh beats on Spotify!"/>
    <n v="1085"/>
    <n v="496"/>
    <n v="320"/>
    <n v="36528"/>
    <n v="38599"/>
    <n v="270"/>
    <n v="5.2042268944371438E-2"/>
    <n v="247"/>
    <x v="0"/>
    <n v="1901"/>
  </r>
  <r>
    <s v="SP074"/>
    <s v="Twitter"/>
    <d v="2024-05-19T00:00:00"/>
    <s v="Story"/>
    <s v="Get into the groove with our new drop!"/>
    <n v="1763"/>
    <n v="206"/>
    <n v="187"/>
    <n v="53342"/>
    <n v="25095"/>
    <n v="88"/>
    <n v="4.0418432004799221E-2"/>
    <n v="274"/>
    <x v="2"/>
    <n v="2156"/>
  </r>
  <r>
    <s v="SP074"/>
    <s v="Twitter"/>
    <d v="2024-05-19T00:00:00"/>
    <s v="Story"/>
    <s v="Get into the groove with our new drop!"/>
    <n v="1763"/>
    <n v="206"/>
    <n v="187"/>
    <n v="53342"/>
    <n v="25095"/>
    <n v="88"/>
    <n v="4.0418432004799221E-2"/>
    <n v="274"/>
    <x v="3"/>
    <n v="2156"/>
  </r>
  <r>
    <s v="SP075"/>
    <s v="Twitter"/>
    <d v="2024-01-22T00:00:00"/>
    <s v="Story"/>
    <s v="From pop to podcasts, it's all here."/>
    <n v="1554"/>
    <n v="455"/>
    <n v="158"/>
    <n v="41947"/>
    <n v="48578"/>
    <n v="101"/>
    <n v="5.1660428636136076E-2"/>
    <n v="252"/>
    <x v="0"/>
    <n v="2167"/>
  </r>
  <r>
    <s v="SP075"/>
    <s v="Twitter"/>
    <d v="2024-01-22T00:00:00"/>
    <s v="Story"/>
    <s v="From pop to podcasts, it's all here."/>
    <n v="1554"/>
    <n v="455"/>
    <n v="158"/>
    <n v="41947"/>
    <n v="48578"/>
    <n v="101"/>
    <n v="5.1660428636136076E-2"/>
    <n v="252"/>
    <x v="1"/>
    <n v="2167"/>
  </r>
  <r>
    <s v="SP076"/>
    <s v="Instagram"/>
    <d v="2024-07-14T00:00:00"/>
    <s v="Text"/>
    <s v="Wrapped is here! Relive your top tracks "/>
    <n v="2464"/>
    <n v="401"/>
    <n v="78"/>
    <n v="38665"/>
    <n v="73593"/>
    <n v="207"/>
    <n v="7.611534979956032E-2"/>
    <n v="186"/>
    <x v="2"/>
    <n v="2943"/>
  </r>
  <r>
    <s v="SP077"/>
    <s v="Twitter"/>
    <d v="2025-05-28T00:00:00"/>
    <s v="Text"/>
    <s v="From pop to podcasts, it's all here."/>
    <n v="2418"/>
    <n v="161"/>
    <n v="360"/>
    <n v="30589"/>
    <n v="41383"/>
    <n v="88"/>
    <n v="9.6080290300434801E-2"/>
    <n v="118"/>
    <x v="1"/>
    <n v="2939"/>
  </r>
  <r>
    <s v="SP078"/>
    <s v="Twitter"/>
    <d v="2025-01-21T00:00:00"/>
    <s v="Story"/>
    <s v="Discover fresh beats on Spotify!"/>
    <n v="2494"/>
    <n v="494"/>
    <n v="55"/>
    <n v="22580"/>
    <n v="22214"/>
    <n v="109"/>
    <n v="0.13476527900797167"/>
    <n v="51"/>
    <x v="3"/>
    <n v="3043"/>
  </r>
  <r>
    <s v="SP078"/>
    <s v="Twitter"/>
    <d v="2025-01-21T00:00:00"/>
    <s v="Story"/>
    <s v="Discover fresh beats on Spotify!"/>
    <n v="2494"/>
    <n v="494"/>
    <n v="55"/>
    <n v="22580"/>
    <n v="22214"/>
    <n v="109"/>
    <n v="0.13476527900797167"/>
    <n v="51"/>
    <x v="1"/>
    <n v="3043"/>
  </r>
  <r>
    <s v="SP079"/>
    <s v="YouTube"/>
    <d v="2024-01-13T00:00:00"/>
    <s v="Reel"/>
    <s v="New music just dropped. Hit play!"/>
    <n v="4781"/>
    <n v="191"/>
    <n v="122"/>
    <n v="35535"/>
    <n v="50777"/>
    <n v="128"/>
    <n v="0.14335162515829464"/>
    <n v="44"/>
    <x v="2"/>
    <n v="5094"/>
  </r>
  <r>
    <s v="SP079"/>
    <s v="YouTube"/>
    <d v="2024-01-13T00:00:00"/>
    <s v="Reel"/>
    <s v="New music just dropped. Hit play!"/>
    <n v="4781"/>
    <n v="191"/>
    <n v="122"/>
    <n v="35535"/>
    <n v="50777"/>
    <n v="128"/>
    <n v="0.14335162515829464"/>
    <n v="44"/>
    <x v="0"/>
    <n v="5094"/>
  </r>
  <r>
    <s v="SP080"/>
    <s v="Instagram"/>
    <d v="2025-06-17T00:00:00"/>
    <s v="Text"/>
    <s v="Music that moves you-only on Spotify."/>
    <n v="2284"/>
    <n v="187"/>
    <n v="260"/>
    <n v="37400"/>
    <n v="65014"/>
    <n v="157"/>
    <n v="7.3021390374331557E-2"/>
    <n v="194"/>
    <x v="0"/>
    <n v="2731"/>
  </r>
  <r>
    <s v="SP080"/>
    <s v="Instagram"/>
    <d v="2025-06-17T00:00:00"/>
    <s v="Text"/>
    <s v="Music that moves you-only on Spotify."/>
    <n v="2284"/>
    <n v="187"/>
    <n v="260"/>
    <n v="37400"/>
    <n v="65014"/>
    <n v="157"/>
    <n v="7.3021390374331557E-2"/>
    <n v="194"/>
    <x v="1"/>
    <n v="2731"/>
  </r>
  <r>
    <s v="SP081"/>
    <s v="Twitter"/>
    <d v="2025-03-07T00:00:00"/>
    <s v="Text"/>
    <s v="Get into the groove with our new drop!"/>
    <n v="4234"/>
    <n v="486"/>
    <n v="276"/>
    <n v="56623"/>
    <n v="41343"/>
    <n v="184"/>
    <n v="8.8232696960599044E-2"/>
    <n v="142"/>
    <x v="0"/>
    <n v="4996"/>
  </r>
  <r>
    <s v="SP082"/>
    <s v="Instagram"/>
    <d v="2024-08-26T00:00:00"/>
    <s v="Text"/>
    <s v="Your weekend playlist is waiting."/>
    <n v="2102"/>
    <n v="181"/>
    <n v="306"/>
    <n v="43650"/>
    <n v="50079"/>
    <n v="182"/>
    <n v="5.9312714776632303E-2"/>
    <n v="226"/>
    <x v="2"/>
    <n v="2589"/>
  </r>
  <r>
    <s v="SP083"/>
    <s v="Twitter"/>
    <d v="2025-01-03T00:00:00"/>
    <s v="Story"/>
    <s v="Get into the groove with our new drop!"/>
    <n v="4845"/>
    <n v="158"/>
    <n v="84"/>
    <n v="34578"/>
    <n v="51480"/>
    <n v="180"/>
    <n v="0.1471166637746544"/>
    <n v="38"/>
    <x v="0"/>
    <n v="5087"/>
  </r>
  <r>
    <s v="SP083"/>
    <s v="Twitter"/>
    <d v="2025-01-03T00:00:00"/>
    <s v="Story"/>
    <s v="Get into the groove with our new drop!"/>
    <n v="4845"/>
    <n v="158"/>
    <n v="84"/>
    <n v="34578"/>
    <n v="51480"/>
    <n v="180"/>
    <n v="0.1471166637746544"/>
    <n v="38"/>
    <x v="1"/>
    <n v="5087"/>
  </r>
  <r>
    <s v="SP084"/>
    <s v="Twitter"/>
    <d v="2024-08-03T00:00:00"/>
    <s v="Text"/>
    <s v="Your weekend playlist is waiting."/>
    <n v="4247"/>
    <n v="390"/>
    <n v="213"/>
    <n v="29785"/>
    <n v="57768"/>
    <n v="122"/>
    <n v="0.16283364109451065"/>
    <n v="24"/>
    <x v="1"/>
    <n v="4850"/>
  </r>
  <r>
    <s v="SP085"/>
    <s v="Instagram"/>
    <d v="2024-08-18T00:00:00"/>
    <s v="Text"/>
    <s v="Explore the latest podcasts now."/>
    <n v="2965"/>
    <n v="328"/>
    <n v="171"/>
    <n v="57685"/>
    <n v="67536"/>
    <n v="264"/>
    <n v="6.0050273034584378E-2"/>
    <n v="223"/>
    <x v="0"/>
    <n v="3464"/>
  </r>
  <r>
    <s v="SP085"/>
    <s v="Instagram"/>
    <d v="2024-08-18T00:00:00"/>
    <s v="Text"/>
    <s v="Explore the latest podcasts now."/>
    <n v="2965"/>
    <n v="328"/>
    <n v="171"/>
    <n v="57685"/>
    <n v="67536"/>
    <n v="264"/>
    <n v="6.0050273034584378E-2"/>
    <n v="223"/>
    <x v="1"/>
    <n v="3464"/>
  </r>
  <r>
    <s v="SP086"/>
    <s v="Twitter"/>
    <d v="2025-05-14T00:00:00"/>
    <s v="Story"/>
    <s v="Wrapped is here! Relive your top tracks "/>
    <n v="1371"/>
    <n v="139"/>
    <n v="96"/>
    <n v="36140"/>
    <n v="39395"/>
    <n v="169"/>
    <n v="4.4438295517432211E-2"/>
    <n v="267"/>
    <x v="0"/>
    <n v="1606"/>
  </r>
  <r>
    <s v="SP086"/>
    <s v="Twitter"/>
    <d v="2025-05-14T00:00:00"/>
    <s v="Story"/>
    <s v="Wrapped is here! Relive your top tracks "/>
    <n v="1371"/>
    <n v="139"/>
    <n v="96"/>
    <n v="36140"/>
    <n v="39395"/>
    <n v="169"/>
    <n v="4.4438295517432211E-2"/>
    <n v="267"/>
    <x v="1"/>
    <n v="1606"/>
  </r>
  <r>
    <s v="SP087"/>
    <s v="Twitter"/>
    <d v="2024-04-23T00:00:00"/>
    <s v="Story"/>
    <s v="Discover fresh beats on Spotify!"/>
    <n v="2683"/>
    <n v="496"/>
    <n v="89"/>
    <n v="53435"/>
    <n v="30334"/>
    <n v="160"/>
    <n v="6.1158416768035934E-2"/>
    <n v="220"/>
    <x v="0"/>
    <n v="3268"/>
  </r>
  <r>
    <s v="SP087"/>
    <s v="Twitter"/>
    <d v="2024-04-23T00:00:00"/>
    <s v="Story"/>
    <s v="Discover fresh beats on Spotify!"/>
    <n v="2683"/>
    <n v="496"/>
    <n v="89"/>
    <n v="53435"/>
    <n v="30334"/>
    <n v="160"/>
    <n v="6.1158416768035934E-2"/>
    <n v="220"/>
    <x v="1"/>
    <n v="3268"/>
  </r>
  <r>
    <s v="SP088"/>
    <s v="Twitter"/>
    <d v="2025-02-17T00:00:00"/>
    <s v="Story"/>
    <s v="What's your vibe today? #SpotifyHits"/>
    <n v="4796"/>
    <n v="427"/>
    <n v="339"/>
    <n v="30752"/>
    <n v="33870"/>
    <n v="298"/>
    <n v="0.18086628511966701"/>
    <n v="11"/>
    <x v="0"/>
    <n v="5562"/>
  </r>
  <r>
    <s v="SP088"/>
    <s v="Twitter"/>
    <d v="2025-02-17T00:00:00"/>
    <s v="Story"/>
    <s v="What's your vibe today? #SpotifyHits"/>
    <n v="4796"/>
    <n v="427"/>
    <n v="339"/>
    <n v="30752"/>
    <n v="33870"/>
    <n v="298"/>
    <n v="0.18086628511966701"/>
    <n v="11"/>
    <x v="1"/>
    <n v="5562"/>
  </r>
  <r>
    <s v="SP089"/>
    <s v="Instagram"/>
    <d v="2024-12-04T00:00:00"/>
    <s v="Text"/>
    <s v="Wrapped is here! Relive your top tracks "/>
    <n v="2601"/>
    <n v="336"/>
    <n v="260"/>
    <n v="32368"/>
    <n v="49028"/>
    <n v="120"/>
    <n v="9.8770390509144837E-2"/>
    <n v="109"/>
    <x v="0"/>
    <n v="3197"/>
  </r>
  <r>
    <s v="SP089"/>
    <s v="Instagram"/>
    <d v="2024-12-04T00:00:00"/>
    <s v="Text"/>
    <s v="Wrapped is here! Relive your top tracks "/>
    <n v="2601"/>
    <n v="336"/>
    <n v="260"/>
    <n v="32368"/>
    <n v="49028"/>
    <n v="120"/>
    <n v="9.8770390509144837E-2"/>
    <n v="109"/>
    <x v="1"/>
    <n v="3197"/>
  </r>
  <r>
    <s v="SP090"/>
    <s v="Twitter"/>
    <d v="2024-07-22T00:00:00"/>
    <s v="Story"/>
    <s v="Wrapped is here! Relive your top tracks "/>
    <n v="3336"/>
    <n v="229"/>
    <n v="337"/>
    <n v="22117"/>
    <n v="26205"/>
    <n v="160"/>
    <n v="0.17642537414658407"/>
    <n v="15"/>
    <x v="3"/>
    <n v="3902"/>
  </r>
  <r>
    <s v="SP090"/>
    <s v="Twitter"/>
    <d v="2024-07-22T00:00:00"/>
    <s v="Story"/>
    <s v="Wrapped is here! Relive your top tracks "/>
    <n v="3336"/>
    <n v="229"/>
    <n v="337"/>
    <n v="22117"/>
    <n v="26205"/>
    <n v="160"/>
    <n v="0.17642537414658407"/>
    <n v="15"/>
    <x v="1"/>
    <n v="3902"/>
  </r>
  <r>
    <s v="SP091"/>
    <s v="Twitter"/>
    <d v="2025-04-27T00:00:00"/>
    <s v="Text"/>
    <s v="Explore the latest podcasts now."/>
    <n v="1165"/>
    <n v="294"/>
    <n v="163"/>
    <n v="20659"/>
    <n v="45926"/>
    <n v="111"/>
    <n v="7.8512996756861422E-2"/>
    <n v="182"/>
    <x v="0"/>
    <n v="1622"/>
  </r>
  <r>
    <s v="SP092"/>
    <s v="YouTube"/>
    <d v="2024-03-25T00:00:00"/>
    <s v="Reel"/>
    <s v="Explore the latest podcasts now."/>
    <n v="1948"/>
    <n v="155"/>
    <n v="315"/>
    <n v="30321"/>
    <n v="57121"/>
    <n v="82"/>
    <n v="7.974671020085089E-2"/>
    <n v="181"/>
    <x v="2"/>
    <n v="2418"/>
  </r>
  <r>
    <s v="SP092"/>
    <s v="YouTube"/>
    <d v="2024-03-25T00:00:00"/>
    <s v="Reel"/>
    <s v="Explore the latest podcasts now."/>
    <n v="1948"/>
    <n v="155"/>
    <n v="315"/>
    <n v="30321"/>
    <n v="57121"/>
    <n v="82"/>
    <n v="7.974671020085089E-2"/>
    <n v="181"/>
    <x v="0"/>
    <n v="2418"/>
  </r>
  <r>
    <s v="SP093"/>
    <s v="Instagram"/>
    <d v="2024-02-29T00:00:00"/>
    <s v="Text"/>
    <s v="From pop to podcasts, it's all here."/>
    <n v="1100"/>
    <n v="229"/>
    <n v="312"/>
    <n v="25641"/>
    <n v="34601"/>
    <n v="169"/>
    <n v="6.3999063999063993E-2"/>
    <n v="214"/>
    <x v="2"/>
    <n v="1641"/>
  </r>
  <r>
    <s v="SP094"/>
    <s v="Twitter"/>
    <d v="2024-11-13T00:00:00"/>
    <s v="Story"/>
    <s v="Top trending tracks updated daily!"/>
    <n v="4628"/>
    <n v="257"/>
    <n v="397"/>
    <n v="36686"/>
    <n v="54683"/>
    <n v="98"/>
    <n v="0.1439786294499264"/>
    <n v="43"/>
    <x v="0"/>
    <n v="5282"/>
  </r>
  <r>
    <s v="SP094"/>
    <s v="Twitter"/>
    <d v="2024-11-13T00:00:00"/>
    <s v="Story"/>
    <s v="Top trending tracks updated daily!"/>
    <n v="4628"/>
    <n v="257"/>
    <n v="397"/>
    <n v="36686"/>
    <n v="54683"/>
    <n v="98"/>
    <n v="0.1439786294499264"/>
    <n v="43"/>
    <x v="1"/>
    <n v="5282"/>
  </r>
  <r>
    <s v="SP095"/>
    <s v="Instagram"/>
    <d v="2024-03-22T00:00:00"/>
    <s v="Story"/>
    <s v="Discover fresh beats on Spotify!"/>
    <n v="2319"/>
    <n v="484"/>
    <n v="193"/>
    <n v="21202"/>
    <n v="18091"/>
    <n v="241"/>
    <n v="0.14130742382794076"/>
    <n v="45"/>
    <x v="1"/>
    <n v="2996"/>
  </r>
  <r>
    <s v="SP096"/>
    <s v="Twitter"/>
    <d v="2024-03-16T00:00:00"/>
    <s v="Story"/>
    <s v="Wrapped is here! Relive your top tracks "/>
    <n v="2895"/>
    <n v="292"/>
    <n v="90"/>
    <n v="24223"/>
    <n v="54626"/>
    <n v="114"/>
    <n v="0.13528464682326713"/>
    <n v="50"/>
    <x v="0"/>
    <n v="3277"/>
  </r>
  <r>
    <s v="SP096"/>
    <s v="Twitter"/>
    <d v="2024-03-16T00:00:00"/>
    <s v="Story"/>
    <s v="Wrapped is here! Relive your top tracks "/>
    <n v="2895"/>
    <n v="292"/>
    <n v="90"/>
    <n v="24223"/>
    <n v="54626"/>
    <n v="114"/>
    <n v="0.13528464682326713"/>
    <n v="50"/>
    <x v="1"/>
    <n v="3277"/>
  </r>
  <r>
    <s v="SP097"/>
    <s v="Instagram"/>
    <d v="2024-01-26T00:00:00"/>
    <s v="Text"/>
    <s v="What's your vibe today? #SpotifyHits"/>
    <n v="3878"/>
    <n v="431"/>
    <n v="97"/>
    <n v="41763"/>
    <n v="29729"/>
    <n v="191"/>
    <n v="0.10550008380623997"/>
    <n v="96"/>
    <x v="2"/>
    <n v="4406"/>
  </r>
  <r>
    <s v="SP098"/>
    <s v="Twitter"/>
    <d v="2024-03-15T00:00:00"/>
    <s v="Story"/>
    <s v="Get into the groove with our new drop!"/>
    <n v="4969"/>
    <n v="433"/>
    <n v="237"/>
    <n v="59552"/>
    <n v="23885"/>
    <n v="157"/>
    <n v="9.4690354648038683E-2"/>
    <n v="121"/>
    <x v="2"/>
    <n v="5639"/>
  </r>
  <r>
    <s v="SP098"/>
    <s v="Twitter"/>
    <d v="2024-03-15T00:00:00"/>
    <s v="Story"/>
    <s v="Get into the groove with our new drop!"/>
    <n v="4969"/>
    <n v="433"/>
    <n v="237"/>
    <n v="59552"/>
    <n v="23885"/>
    <n v="157"/>
    <n v="9.4690354648038683E-2"/>
    <n v="121"/>
    <x v="3"/>
    <n v="5639"/>
  </r>
  <r>
    <s v="SP099"/>
    <s v="Twitter"/>
    <d v="2024-10-15T00:00:00"/>
    <s v="Text"/>
    <s v="Wrapped is here! Relive your top tracks "/>
    <n v="1984"/>
    <n v="481"/>
    <n v="356"/>
    <n v="40681"/>
    <n v="63111"/>
    <n v="258"/>
    <n v="6.934441139598338E-2"/>
    <n v="205"/>
    <x v="1"/>
    <n v="2821"/>
  </r>
  <r>
    <s v="SP100"/>
    <s v="Instagram"/>
    <d v="2024-07-21T00:00:00"/>
    <s v="Text"/>
    <s v="Discover fresh beats on Spotify!"/>
    <n v="3004"/>
    <n v="415"/>
    <n v="218"/>
    <n v="36090"/>
    <n v="37073"/>
    <n v="181"/>
    <n v="0.10077583818232197"/>
    <n v="107"/>
    <x v="2"/>
    <n v="3637"/>
  </r>
  <r>
    <s v="SP101"/>
    <s v="Twitter"/>
    <d v="2024-10-12T00:00:00"/>
    <s v="Text"/>
    <s v="Get into the groove with our new drop!"/>
    <n v="3169"/>
    <n v="386"/>
    <n v="175"/>
    <n v="45012"/>
    <n v="38508"/>
    <n v="218"/>
    <n v="8.2866791077934779E-2"/>
    <n v="165"/>
    <x v="1"/>
    <n v="3730"/>
  </r>
  <r>
    <s v="SP102"/>
    <s v="Twitter"/>
    <d v="2024-10-26T00:00:00"/>
    <s v="Text"/>
    <s v="Discover fresh beats on Spotify!"/>
    <n v="3036"/>
    <n v="293"/>
    <n v="115"/>
    <n v="23776"/>
    <n v="46386"/>
    <n v="282"/>
    <n v="0.14485195154777927"/>
    <n v="41"/>
    <x v="1"/>
    <n v="3444"/>
  </r>
  <r>
    <s v="SP103"/>
    <s v="Instagram"/>
    <d v="2024-02-14T00:00:00"/>
    <s v="Text"/>
    <s v="Music that moves you-only on Spotify."/>
    <n v="1830"/>
    <n v="112"/>
    <n v="181"/>
    <n v="31870"/>
    <n v="55742"/>
    <n v="263"/>
    <n v="6.6614370881706936E-2"/>
    <n v="208"/>
    <x v="0"/>
    <n v="2123"/>
  </r>
  <r>
    <s v="SP103"/>
    <s v="Instagram"/>
    <d v="2024-02-14T00:00:00"/>
    <s v="Text"/>
    <s v="Music that moves you-only on Spotify."/>
    <n v="1830"/>
    <n v="112"/>
    <n v="181"/>
    <n v="31870"/>
    <n v="55742"/>
    <n v="263"/>
    <n v="6.6614370881706936E-2"/>
    <n v="208"/>
    <x v="1"/>
    <n v="2123"/>
  </r>
  <r>
    <s v="SP104"/>
    <s v="Twitter"/>
    <d v="2024-05-01T00:00:00"/>
    <s v="Story"/>
    <s v="What's your vibe today? #SpotifyHits"/>
    <n v="2587"/>
    <n v="447"/>
    <n v="183"/>
    <n v="36266"/>
    <n v="32877"/>
    <n v="132"/>
    <n v="8.8705674736667947E-2"/>
    <n v="140"/>
    <x v="2"/>
    <n v="3217"/>
  </r>
  <r>
    <s v="SP104"/>
    <s v="Twitter"/>
    <d v="2024-05-01T00:00:00"/>
    <s v="Story"/>
    <s v="What's your vibe today? #SpotifyHits"/>
    <n v="2587"/>
    <n v="447"/>
    <n v="183"/>
    <n v="36266"/>
    <n v="32877"/>
    <n v="132"/>
    <n v="8.8705674736667947E-2"/>
    <n v="140"/>
    <x v="3"/>
    <n v="3217"/>
  </r>
  <r>
    <s v="SP105"/>
    <s v="Twitter"/>
    <d v="2024-09-18T00:00:00"/>
    <s v="Text"/>
    <s v="Discover fresh beats on Spotify!"/>
    <n v="2878"/>
    <n v="265"/>
    <n v="91"/>
    <n v="52090"/>
    <n v="28924"/>
    <n v="133"/>
    <n v="6.2084853138798232E-2"/>
    <n v="218"/>
    <x v="1"/>
    <n v="3234"/>
  </r>
  <r>
    <s v="SP106"/>
    <s v="Twitter"/>
    <d v="2025-01-20T00:00:00"/>
    <s v="Story"/>
    <s v="New music just dropped. Hit play!"/>
    <n v="4619"/>
    <n v="272"/>
    <n v="57"/>
    <n v="21334"/>
    <n v="46292"/>
    <n v="91"/>
    <n v="0.23193025217961938"/>
    <n v="2"/>
    <x v="0"/>
    <n v="4948"/>
  </r>
  <r>
    <s v="SP106"/>
    <s v="Twitter"/>
    <d v="2025-01-20T00:00:00"/>
    <s v="Story"/>
    <s v="New music just dropped. Hit play!"/>
    <n v="4619"/>
    <n v="272"/>
    <n v="57"/>
    <n v="21334"/>
    <n v="46292"/>
    <n v="91"/>
    <n v="0.23193025217961938"/>
    <n v="2"/>
    <x v="1"/>
    <n v="4948"/>
  </r>
  <r>
    <s v="SP107"/>
    <s v="Twitter"/>
    <d v="2025-01-13T00:00:00"/>
    <s v="Text"/>
    <s v="Music that moves you-only on Spotify."/>
    <n v="4090"/>
    <n v="209"/>
    <n v="278"/>
    <n v="52853"/>
    <n v="57084"/>
    <n v="102"/>
    <n v="8.6598679355949518E-2"/>
    <n v="149"/>
    <x v="0"/>
    <n v="4577"/>
  </r>
  <r>
    <s v="SP108"/>
    <s v="YouTube"/>
    <d v="2024-09-07T00:00:00"/>
    <s v="Reel"/>
    <s v="Music that moves you-only on Spotify."/>
    <n v="3882"/>
    <n v="342"/>
    <n v="374"/>
    <n v="41991"/>
    <n v="48554"/>
    <n v="118"/>
    <n v="0.10949965468790931"/>
    <n v="85"/>
    <x v="2"/>
    <n v="4598"/>
  </r>
  <r>
    <s v="SP108"/>
    <s v="YouTube"/>
    <d v="2024-09-07T00:00:00"/>
    <s v="Reel"/>
    <s v="Music that moves you-only on Spotify."/>
    <n v="3882"/>
    <n v="342"/>
    <n v="374"/>
    <n v="41991"/>
    <n v="48554"/>
    <n v="118"/>
    <n v="0.10949965468790931"/>
    <n v="85"/>
    <x v="0"/>
    <n v="4598"/>
  </r>
  <r>
    <s v="SP109"/>
    <s v="Instagram"/>
    <d v="2024-11-21T00:00:00"/>
    <s v="Text"/>
    <s v="Music that moves you-only on Spotify."/>
    <n v="4581"/>
    <n v="181"/>
    <n v="112"/>
    <n v="35221"/>
    <n v="28797"/>
    <n v="164"/>
    <n v="0.13838335084182732"/>
    <n v="49"/>
    <x v="0"/>
    <n v="4874"/>
  </r>
  <r>
    <s v="SP109"/>
    <s v="Instagram"/>
    <d v="2024-11-21T00:00:00"/>
    <s v="Text"/>
    <s v="Music that moves you-only on Spotify."/>
    <n v="4581"/>
    <n v="181"/>
    <n v="112"/>
    <n v="35221"/>
    <n v="28797"/>
    <n v="164"/>
    <n v="0.13838335084182732"/>
    <n v="49"/>
    <x v="1"/>
    <n v="4874"/>
  </r>
  <r>
    <s v="SP110"/>
    <s v="Instagram"/>
    <d v="2024-06-26T00:00:00"/>
    <s v="Text"/>
    <s v="New music just dropped. Hit play!"/>
    <n v="3253"/>
    <n v="483"/>
    <n v="336"/>
    <n v="25397"/>
    <n v="51485"/>
    <n v="131"/>
    <n v="0.16033389770445328"/>
    <n v="29"/>
    <x v="2"/>
    <n v="4072"/>
  </r>
  <r>
    <s v="SP111"/>
    <s v="YouTube"/>
    <d v="2024-07-20T00:00:00"/>
    <s v="Reel"/>
    <s v="Music that moves you-only on Spotify."/>
    <n v="4955"/>
    <n v="299"/>
    <n v="345"/>
    <n v="33644"/>
    <n v="43547"/>
    <n v="194"/>
    <n v="0.16641897515158721"/>
    <n v="20"/>
    <x v="2"/>
    <n v="5599"/>
  </r>
  <r>
    <s v="SP111"/>
    <s v="YouTube"/>
    <d v="2024-07-20T00:00:00"/>
    <s v="Reel"/>
    <s v="Music that moves you-only on Spotify."/>
    <n v="4955"/>
    <n v="299"/>
    <n v="345"/>
    <n v="33644"/>
    <n v="43547"/>
    <n v="194"/>
    <n v="0.16641897515158721"/>
    <n v="20"/>
    <x v="0"/>
    <n v="5599"/>
  </r>
  <r>
    <s v="SP112"/>
    <s v="Instagram"/>
    <d v="2025-02-16T00:00:00"/>
    <s v="Text"/>
    <s v="Your weekend playlist is waiting."/>
    <n v="1333"/>
    <n v="286"/>
    <n v="298"/>
    <n v="36174"/>
    <n v="34517"/>
    <n v="170"/>
    <n v="5.2993862995521647E-2"/>
    <n v="243"/>
    <x v="0"/>
    <n v="1917"/>
  </r>
  <r>
    <s v="SP112"/>
    <s v="Instagram"/>
    <d v="2025-02-16T00:00:00"/>
    <s v="Text"/>
    <s v="Your weekend playlist is waiting."/>
    <n v="1333"/>
    <n v="286"/>
    <n v="298"/>
    <n v="36174"/>
    <n v="34517"/>
    <n v="170"/>
    <n v="5.2993862995521647E-2"/>
    <n v="243"/>
    <x v="1"/>
    <n v="1917"/>
  </r>
  <r>
    <s v="SP113"/>
    <s v="Instagram"/>
    <d v="2024-09-09T00:00:00"/>
    <s v="Text"/>
    <s v="New music just dropped. Hit play!"/>
    <n v="1616"/>
    <n v="360"/>
    <n v="180"/>
    <n v="54342"/>
    <n v="18796"/>
    <n v="282"/>
    <n v="3.9674653122814763E-2"/>
    <n v="278"/>
    <x v="0"/>
    <n v="2156"/>
  </r>
  <r>
    <s v="SP113"/>
    <s v="Instagram"/>
    <d v="2024-09-09T00:00:00"/>
    <s v="Text"/>
    <s v="New music just dropped. Hit play!"/>
    <n v="1616"/>
    <n v="360"/>
    <n v="180"/>
    <n v="54342"/>
    <n v="18796"/>
    <n v="282"/>
    <n v="3.9674653122814763E-2"/>
    <n v="278"/>
    <x v="1"/>
    <n v="2156"/>
  </r>
  <r>
    <s v="SP114"/>
    <s v="Twitter"/>
    <d v="2024-07-16T00:00:00"/>
    <s v="Text"/>
    <s v="Top trending tracks updated daily!"/>
    <n v="1803"/>
    <n v="273"/>
    <n v="287"/>
    <n v="46176"/>
    <n v="25488"/>
    <n v="141"/>
    <n v="5.1173769923769923E-2"/>
    <n v="253"/>
    <x v="1"/>
    <n v="2363"/>
  </r>
  <r>
    <s v="SP115"/>
    <s v="Instagram"/>
    <d v="2025-04-15T00:00:00"/>
    <s v="Text"/>
    <s v="Explore the latest podcasts now."/>
    <n v="4177"/>
    <n v="489"/>
    <n v="331"/>
    <n v="57451"/>
    <n v="73793"/>
    <n v="251"/>
    <n v="8.6978468608031198E-2"/>
    <n v="147"/>
    <x v="2"/>
    <n v="4997"/>
  </r>
  <r>
    <s v="SP116"/>
    <s v="Instagram"/>
    <d v="2025-05-04T00:00:00"/>
    <s v="Story"/>
    <s v="New music just dropped. Hit play!"/>
    <n v="1311"/>
    <n v="181"/>
    <n v="361"/>
    <n v="37148"/>
    <n v="44875"/>
    <n v="245"/>
    <n v="4.9881554861634543E-2"/>
    <n v="256"/>
    <x v="1"/>
    <n v="1853"/>
  </r>
  <r>
    <s v="SP117"/>
    <s v="Instagram"/>
    <d v="2024-02-18T00:00:00"/>
    <s v="Story"/>
    <s v="From pop to podcasts, it's all here."/>
    <n v="1516"/>
    <n v="215"/>
    <n v="332"/>
    <n v="58981"/>
    <n v="36118"/>
    <n v="211"/>
    <n v="3.4977365592309385E-2"/>
    <n v="288"/>
    <x v="1"/>
    <n v="2063"/>
  </r>
  <r>
    <s v="SP118"/>
    <s v="Twitter"/>
    <d v="2024-05-16T00:00:00"/>
    <s v="Story"/>
    <s v="Music that moves you-only on Spotify."/>
    <n v="2023"/>
    <n v="124"/>
    <n v="99"/>
    <n v="54524"/>
    <n v="34790"/>
    <n v="195"/>
    <n v="4.1192869195216787E-2"/>
    <n v="273"/>
    <x v="2"/>
    <n v="2246"/>
  </r>
  <r>
    <s v="SP118"/>
    <s v="Twitter"/>
    <d v="2024-05-16T00:00:00"/>
    <s v="Story"/>
    <s v="Music that moves you-only on Spotify."/>
    <n v="2023"/>
    <n v="124"/>
    <n v="99"/>
    <n v="54524"/>
    <n v="34790"/>
    <n v="195"/>
    <n v="4.1192869195216787E-2"/>
    <n v="273"/>
    <x v="3"/>
    <n v="2246"/>
  </r>
  <r>
    <s v="SP119"/>
    <s v="Twitter"/>
    <d v="2025-05-29T00:00:00"/>
    <s v="Story"/>
    <s v="Music that moves you-only on Spotify."/>
    <n v="2134"/>
    <n v="322"/>
    <n v="114"/>
    <n v="44338"/>
    <n v="52165"/>
    <n v="176"/>
    <n v="5.7963823356939871E-2"/>
    <n v="230"/>
    <x v="3"/>
    <n v="2570"/>
  </r>
  <r>
    <s v="SP119"/>
    <s v="Twitter"/>
    <d v="2025-05-29T00:00:00"/>
    <s v="Story"/>
    <s v="Music that moves you-only on Spotify."/>
    <n v="2134"/>
    <n v="322"/>
    <n v="114"/>
    <n v="44338"/>
    <n v="52165"/>
    <n v="176"/>
    <n v="5.7963823356939871E-2"/>
    <n v="230"/>
    <x v="1"/>
    <n v="2570"/>
  </r>
  <r>
    <s v="SP120"/>
    <s v="Instagram"/>
    <d v="2025-01-17T00:00:00"/>
    <s v="Text"/>
    <s v="Top trending tracks updated daily!"/>
    <n v="2266"/>
    <n v="126"/>
    <n v="140"/>
    <n v="53759"/>
    <n v="46834"/>
    <n v="277"/>
    <n v="4.7099090384865788E-2"/>
    <n v="262"/>
    <x v="2"/>
    <n v="2532"/>
  </r>
  <r>
    <s v="SP121"/>
    <s v="Instagram"/>
    <d v="2025-04-30T00:00:00"/>
    <s v="Story"/>
    <s v="New music just dropped. Hit play!"/>
    <n v="3916"/>
    <n v="459"/>
    <n v="229"/>
    <n v="48989"/>
    <n v="39768"/>
    <n v="200"/>
    <n v="9.3980281287635997E-2"/>
    <n v="126"/>
    <x v="1"/>
    <n v="4604"/>
  </r>
  <r>
    <s v="SP122"/>
    <s v="Twitter"/>
    <d v="2024-02-24T00:00:00"/>
    <s v="Story"/>
    <s v="Music that moves you-only on Spotify."/>
    <n v="1022"/>
    <n v="463"/>
    <n v="360"/>
    <n v="51468"/>
    <n v="24279"/>
    <n v="230"/>
    <n v="3.5847516903707161E-2"/>
    <n v="283"/>
    <x v="2"/>
    <n v="1845"/>
  </r>
  <r>
    <s v="SP122"/>
    <s v="Twitter"/>
    <d v="2024-02-24T00:00:00"/>
    <s v="Story"/>
    <s v="Music that moves you-only on Spotify."/>
    <n v="1022"/>
    <n v="463"/>
    <n v="360"/>
    <n v="51468"/>
    <n v="24279"/>
    <n v="230"/>
    <n v="3.5847516903707161E-2"/>
    <n v="283"/>
    <x v="3"/>
    <n v="1845"/>
  </r>
  <r>
    <s v="SP123"/>
    <s v="YouTube"/>
    <d v="2024-05-12T00:00:00"/>
    <s v="Text"/>
    <s v="From pop to podcasts, it's all here."/>
    <n v="2911"/>
    <n v="467"/>
    <n v="94"/>
    <n v="59083"/>
    <n v="49762"/>
    <n v="236"/>
    <n v="5.8764788517847777E-2"/>
    <n v="227"/>
    <x v="2"/>
    <n v="3472"/>
  </r>
  <r>
    <s v="SP123"/>
    <s v="YouTube"/>
    <d v="2024-05-12T00:00:00"/>
    <s v="Text"/>
    <s v="From pop to podcasts, it's all here."/>
    <n v="2911"/>
    <n v="467"/>
    <n v="94"/>
    <n v="59083"/>
    <n v="49762"/>
    <n v="236"/>
    <n v="5.8764788517847777E-2"/>
    <n v="227"/>
    <x v="4"/>
    <n v="3472"/>
  </r>
  <r>
    <s v="SP124"/>
    <s v="Twitter"/>
    <d v="2024-05-09T00:00:00"/>
    <s v="Story"/>
    <s v="New music just dropped. Hit play!"/>
    <n v="3277"/>
    <n v="423"/>
    <n v="259"/>
    <n v="46328"/>
    <n v="44293"/>
    <n v="299"/>
    <n v="8.5455879813503707E-2"/>
    <n v="154"/>
    <x v="0"/>
    <n v="3959"/>
  </r>
  <r>
    <s v="SP124"/>
    <s v="Twitter"/>
    <d v="2024-05-09T00:00:00"/>
    <s v="Story"/>
    <s v="New music just dropped. Hit play!"/>
    <n v="3277"/>
    <n v="423"/>
    <n v="259"/>
    <n v="46328"/>
    <n v="44293"/>
    <n v="299"/>
    <n v="8.5455879813503707E-2"/>
    <n v="154"/>
    <x v="1"/>
    <n v="3959"/>
  </r>
  <r>
    <s v="SP125"/>
    <s v="Twitter"/>
    <d v="2024-11-06T00:00:00"/>
    <s v="Text"/>
    <s v="From pop to podcasts, it's all here."/>
    <n v="2956"/>
    <n v="381"/>
    <n v="345"/>
    <n v="33347"/>
    <n v="22558"/>
    <n v="173"/>
    <n v="0.11041472996071611"/>
    <n v="82"/>
    <x v="1"/>
    <n v="3682"/>
  </r>
  <r>
    <s v="SP126"/>
    <s v="Twitter"/>
    <d v="2024-01-04T00:00:00"/>
    <s v="Story"/>
    <s v="What's your vibe today? #SpotifyHits"/>
    <n v="3208"/>
    <n v="476"/>
    <n v="277"/>
    <n v="56072"/>
    <n v="21061"/>
    <n v="113"/>
    <n v="7.064131830503638E-2"/>
    <n v="200"/>
    <x v="3"/>
    <n v="3961"/>
  </r>
  <r>
    <s v="SP126"/>
    <s v="Twitter"/>
    <d v="2024-01-04T00:00:00"/>
    <s v="Story"/>
    <s v="What's your vibe today? #SpotifyHits"/>
    <n v="3208"/>
    <n v="476"/>
    <n v="277"/>
    <n v="56072"/>
    <n v="21061"/>
    <n v="113"/>
    <n v="7.064131830503638E-2"/>
    <n v="200"/>
    <x v="1"/>
    <n v="3961"/>
  </r>
  <r>
    <s v="SP127"/>
    <s v="Twitter"/>
    <d v="2024-01-28T00:00:00"/>
    <s v="Text"/>
    <s v="Music that moves you-only on Spotify."/>
    <n v="1456"/>
    <n v="265"/>
    <n v="137"/>
    <n v="53485"/>
    <n v="59729"/>
    <n v="145"/>
    <n v="3.4738711788351875E-2"/>
    <n v="289"/>
    <x v="0"/>
    <n v="1858"/>
  </r>
  <r>
    <s v="SP128"/>
    <s v="Instagram"/>
    <d v="2024-02-22T00:00:00"/>
    <s v="Text"/>
    <s v="New music just dropped. Hit play!"/>
    <n v="1902"/>
    <n v="394"/>
    <n v="279"/>
    <n v="24615"/>
    <n v="51330"/>
    <n v="176"/>
    <n v="0.10461100954702417"/>
    <n v="99"/>
    <x v="0"/>
    <n v="2575"/>
  </r>
  <r>
    <s v="SP128"/>
    <s v="Instagram"/>
    <d v="2024-02-22T00:00:00"/>
    <s v="Text"/>
    <s v="New music just dropped. Hit play!"/>
    <n v="1902"/>
    <n v="394"/>
    <n v="279"/>
    <n v="24615"/>
    <n v="51330"/>
    <n v="176"/>
    <n v="0.10461100954702417"/>
    <n v="99"/>
    <x v="1"/>
    <n v="2575"/>
  </r>
  <r>
    <s v="SP129"/>
    <s v="Twitter"/>
    <d v="2025-07-01T00:00:00"/>
    <s v="Story"/>
    <s v="Explore the latest podcasts now."/>
    <n v="3219"/>
    <n v="424"/>
    <n v="267"/>
    <n v="48879"/>
    <n v="37691"/>
    <n v="224"/>
    <n v="7.9993453221219743E-2"/>
    <n v="179"/>
    <x v="2"/>
    <n v="3910"/>
  </r>
  <r>
    <s v="SP129"/>
    <s v="Twitter"/>
    <d v="2025-07-01T00:00:00"/>
    <s v="Story"/>
    <s v="Explore the latest podcasts now."/>
    <n v="3219"/>
    <n v="424"/>
    <n v="267"/>
    <n v="48879"/>
    <n v="37691"/>
    <n v="224"/>
    <n v="7.9993453221219743E-2"/>
    <n v="179"/>
    <x v="3"/>
    <n v="3910"/>
  </r>
  <r>
    <s v="SP130"/>
    <s v="YouTube"/>
    <d v="2024-01-10T00:00:00"/>
    <s v="Text"/>
    <s v="Explore the latest podcasts now."/>
    <n v="1261"/>
    <n v="190"/>
    <n v="233"/>
    <n v="59888"/>
    <n v="51449"/>
    <n v="205"/>
    <n v="2.811915575741384E-2"/>
    <n v="298"/>
    <x v="2"/>
    <n v="1684"/>
  </r>
  <r>
    <s v="SP130"/>
    <s v="YouTube"/>
    <d v="2024-01-10T00:00:00"/>
    <s v="Text"/>
    <s v="Explore the latest podcasts now."/>
    <n v="1261"/>
    <n v="190"/>
    <n v="233"/>
    <n v="59888"/>
    <n v="51449"/>
    <n v="205"/>
    <n v="2.811915575741384E-2"/>
    <n v="298"/>
    <x v="4"/>
    <n v="1684"/>
  </r>
  <r>
    <s v="SP131"/>
    <s v="Twitter"/>
    <d v="2025-03-20T00:00:00"/>
    <s v="Text"/>
    <s v="Your weekend playlist is waiting."/>
    <n v="1564"/>
    <n v="362"/>
    <n v="371"/>
    <n v="42075"/>
    <n v="66659"/>
    <n v="205"/>
    <n v="5.4592988710635768E-2"/>
    <n v="238"/>
    <x v="0"/>
    <n v="2297"/>
  </r>
  <r>
    <s v="SP132"/>
    <s v="Twitter"/>
    <d v="2024-09-28T00:00:00"/>
    <s v="Text"/>
    <s v="What's your vibe today? #SpotifyHits"/>
    <n v="4006"/>
    <n v="420"/>
    <n v="194"/>
    <n v="49964"/>
    <n v="20685"/>
    <n v="148"/>
    <n v="9.2466575934672959E-2"/>
    <n v="132"/>
    <x v="1"/>
    <n v="4620"/>
  </r>
  <r>
    <s v="SP133"/>
    <s v="YouTube"/>
    <d v="2024-01-27T00:00:00"/>
    <s v="Text"/>
    <s v="Your weekend playlist is waiting."/>
    <n v="1976"/>
    <n v="262"/>
    <n v="218"/>
    <n v="51696"/>
    <n v="44846"/>
    <n v="139"/>
    <n v="4.7508511296812134E-2"/>
    <n v="260"/>
    <x v="2"/>
    <n v="2456"/>
  </r>
  <r>
    <s v="SP133"/>
    <s v="YouTube"/>
    <d v="2024-01-27T00:00:00"/>
    <s v="Text"/>
    <s v="Your weekend playlist is waiting."/>
    <n v="1976"/>
    <n v="262"/>
    <n v="218"/>
    <n v="51696"/>
    <n v="44846"/>
    <n v="139"/>
    <n v="4.7508511296812134E-2"/>
    <n v="260"/>
    <x v="4"/>
    <n v="2456"/>
  </r>
  <r>
    <s v="SP134"/>
    <s v="Twitter"/>
    <d v="2025-05-15T00:00:00"/>
    <s v="Text"/>
    <s v="New music just dropped. Hit play!"/>
    <n v="1583"/>
    <n v="433"/>
    <n v="249"/>
    <n v="30256"/>
    <n v="47066"/>
    <n v="196"/>
    <n v="7.4861184558434685E-2"/>
    <n v="189"/>
    <x v="1"/>
    <n v="2265"/>
  </r>
  <r>
    <s v="SP135"/>
    <s v="Twitter"/>
    <d v="2024-10-04T00:00:00"/>
    <s v="Story"/>
    <s v="Explore the latest podcasts now."/>
    <n v="2870"/>
    <n v="380"/>
    <n v="393"/>
    <n v="37621"/>
    <n v="71794"/>
    <n v="127"/>
    <n v="9.6834214933149046E-2"/>
    <n v="117"/>
    <x v="3"/>
    <n v="3643"/>
  </r>
  <r>
    <s v="SP135"/>
    <s v="Twitter"/>
    <d v="2024-10-04T00:00:00"/>
    <s v="Story"/>
    <s v="Explore the latest podcasts now."/>
    <n v="2870"/>
    <n v="380"/>
    <n v="393"/>
    <n v="37621"/>
    <n v="71794"/>
    <n v="127"/>
    <n v="9.6834214933149046E-2"/>
    <n v="117"/>
    <x v="1"/>
    <n v="3643"/>
  </r>
  <r>
    <s v="SP136"/>
    <s v="Twitter"/>
    <d v="2024-11-19T00:00:00"/>
    <s v="Text"/>
    <s v="Top trending tracks updated daily!"/>
    <n v="3728"/>
    <n v="271"/>
    <n v="275"/>
    <n v="22827"/>
    <n v="37034"/>
    <n v="199"/>
    <n v="0.18723441538528934"/>
    <n v="9"/>
    <x v="1"/>
    <n v="4274"/>
  </r>
  <r>
    <s v="SP137"/>
    <s v="Twitter"/>
    <d v="2024-04-05T00:00:00"/>
    <s v="Story"/>
    <s v="New music just dropped. Hit play!"/>
    <n v="4965"/>
    <n v="175"/>
    <n v="307"/>
    <n v="32793"/>
    <n v="43412"/>
    <n v="296"/>
    <n v="0.16610252187966945"/>
    <n v="21"/>
    <x v="0"/>
    <n v="5447"/>
  </r>
  <r>
    <s v="SP137"/>
    <s v="Twitter"/>
    <d v="2024-04-05T00:00:00"/>
    <s v="Story"/>
    <s v="New music just dropped. Hit play!"/>
    <n v="4965"/>
    <n v="175"/>
    <n v="307"/>
    <n v="32793"/>
    <n v="43412"/>
    <n v="296"/>
    <n v="0.16610252187966945"/>
    <n v="21"/>
    <x v="1"/>
    <n v="5447"/>
  </r>
  <r>
    <s v="SP138"/>
    <s v="Twitter"/>
    <d v="2024-11-28T00:00:00"/>
    <s v="Story"/>
    <s v="New music just dropped. Hit play!"/>
    <n v="1131"/>
    <n v="100"/>
    <n v="116"/>
    <n v="48437"/>
    <n v="72704"/>
    <n v="236"/>
    <n v="2.7809319322005904E-2"/>
    <n v="299"/>
    <x v="2"/>
    <n v="1347"/>
  </r>
  <r>
    <s v="SP138"/>
    <s v="Twitter"/>
    <d v="2024-11-28T00:00:00"/>
    <s v="Story"/>
    <s v="New music just dropped. Hit play!"/>
    <n v="1131"/>
    <n v="100"/>
    <n v="116"/>
    <n v="48437"/>
    <n v="72704"/>
    <n v="236"/>
    <n v="2.7809319322005904E-2"/>
    <n v="299"/>
    <x v="3"/>
    <n v="1347"/>
  </r>
  <r>
    <s v="SP139"/>
    <s v="Twitter"/>
    <d v="2025-03-09T00:00:00"/>
    <s v="Text"/>
    <s v="Your weekend playlist is waiting."/>
    <n v="2754"/>
    <n v="215"/>
    <n v="264"/>
    <n v="27762"/>
    <n v="70203"/>
    <n v="289"/>
    <n v="0.11645414595490239"/>
    <n v="69"/>
    <x v="1"/>
    <n v="3233"/>
  </r>
  <r>
    <s v="SP140"/>
    <s v="Twitter"/>
    <d v="2024-08-27T00:00:00"/>
    <s v="Story"/>
    <s v="New music just dropped. Hit play!"/>
    <n v="1856"/>
    <n v="357"/>
    <n v="348"/>
    <n v="29428"/>
    <n v="70206"/>
    <n v="236"/>
    <n v="8.702596166915863E-2"/>
    <n v="146"/>
    <x v="3"/>
    <n v="2561"/>
  </r>
  <r>
    <s v="SP140"/>
    <s v="Twitter"/>
    <d v="2024-08-27T00:00:00"/>
    <s v="Story"/>
    <s v="New music just dropped. Hit play!"/>
    <n v="1856"/>
    <n v="357"/>
    <n v="348"/>
    <n v="29428"/>
    <n v="70206"/>
    <n v="236"/>
    <n v="8.702596166915863E-2"/>
    <n v="146"/>
    <x v="1"/>
    <n v="2561"/>
  </r>
  <r>
    <s v="SP141"/>
    <s v="YouTube"/>
    <d v="2024-10-01T00:00:00"/>
    <s v="Reel"/>
    <s v="Explore the latest podcasts now."/>
    <n v="3543"/>
    <n v="334"/>
    <n v="218"/>
    <n v="58007"/>
    <n v="24792"/>
    <n v="273"/>
    <n v="7.0594928198320889E-2"/>
    <n v="201"/>
    <x v="2"/>
    <n v="4095"/>
  </r>
  <r>
    <s v="SP141"/>
    <s v="YouTube"/>
    <d v="2024-10-01T00:00:00"/>
    <s v="Reel"/>
    <s v="Explore the latest podcasts now."/>
    <n v="3543"/>
    <n v="334"/>
    <n v="218"/>
    <n v="58007"/>
    <n v="24792"/>
    <n v="273"/>
    <n v="7.0594928198320889E-2"/>
    <n v="201"/>
    <x v="0"/>
    <n v="4095"/>
  </r>
  <r>
    <s v="SP142"/>
    <s v="Instagram"/>
    <d v="2024-12-21T00:00:00"/>
    <s v="Story"/>
    <s v="New music just dropped. Hit play!"/>
    <n v="4563"/>
    <n v="398"/>
    <n v="163"/>
    <n v="43679"/>
    <n v="48760"/>
    <n v="92"/>
    <n v="0.11731037798484398"/>
    <n v="67"/>
    <x v="1"/>
    <n v="5124"/>
  </r>
  <r>
    <s v="SP143"/>
    <s v="Instagram"/>
    <d v="2024-06-17T00:00:00"/>
    <s v="Text"/>
    <s v="Discover fresh beats on Spotify!"/>
    <n v="4283"/>
    <n v="471"/>
    <n v="156"/>
    <n v="53004"/>
    <n v="25678"/>
    <n v="105"/>
    <n v="9.2634518149573616E-2"/>
    <n v="131"/>
    <x v="2"/>
    <n v="4910"/>
  </r>
  <r>
    <s v="SP144"/>
    <s v="Instagram"/>
    <d v="2025-02-14T00:00:00"/>
    <s v="Text"/>
    <s v="Discover fresh beats on Spotify!"/>
    <n v="2329"/>
    <n v="373"/>
    <n v="291"/>
    <n v="49577"/>
    <n v="28002"/>
    <n v="82"/>
    <n v="6.0370736430199488E-2"/>
    <n v="222"/>
    <x v="0"/>
    <n v="2993"/>
  </r>
  <r>
    <s v="SP144"/>
    <s v="Instagram"/>
    <d v="2025-02-14T00:00:00"/>
    <s v="Text"/>
    <s v="Discover fresh beats on Spotify!"/>
    <n v="2329"/>
    <n v="373"/>
    <n v="291"/>
    <n v="49577"/>
    <n v="28002"/>
    <n v="82"/>
    <n v="6.0370736430199488E-2"/>
    <n v="222"/>
    <x v="1"/>
    <n v="2993"/>
  </r>
  <r>
    <s v="SP145"/>
    <s v="Twitter"/>
    <d v="2025-05-28T00:00:00"/>
    <s v="Story"/>
    <s v="Top trending tracks updated daily!"/>
    <n v="4287"/>
    <n v="273"/>
    <n v="122"/>
    <n v="40792"/>
    <n v="23878"/>
    <n v="277"/>
    <n v="0.11477740733477153"/>
    <n v="71"/>
    <x v="3"/>
    <n v="4682"/>
  </r>
  <r>
    <s v="SP145"/>
    <s v="Twitter"/>
    <d v="2025-05-28T00:00:00"/>
    <s v="Story"/>
    <s v="Top trending tracks updated daily!"/>
    <n v="4287"/>
    <n v="273"/>
    <n v="122"/>
    <n v="40792"/>
    <n v="23878"/>
    <n v="277"/>
    <n v="0.11477740733477153"/>
    <n v="71"/>
    <x v="1"/>
    <n v="4682"/>
  </r>
  <r>
    <s v="SP146"/>
    <s v="Instagram"/>
    <d v="2025-05-22T00:00:00"/>
    <s v="Text"/>
    <s v="Discover fresh beats on Spotify!"/>
    <n v="2633"/>
    <n v="318"/>
    <n v="380"/>
    <n v="40869"/>
    <n v="64474"/>
    <n v="245"/>
    <n v="8.1504318676747664E-2"/>
    <n v="172"/>
    <x v="2"/>
    <n v="3331"/>
  </r>
  <r>
    <s v="SP147"/>
    <s v="Twitter"/>
    <d v="2024-01-21T00:00:00"/>
    <s v="Story"/>
    <s v="Discover fresh beats on Spotify!"/>
    <n v="2383"/>
    <n v="136"/>
    <n v="302"/>
    <n v="39187"/>
    <n v="22133"/>
    <n v="208"/>
    <n v="7.1988159338556151E-2"/>
    <n v="196"/>
    <x v="3"/>
    <n v="2821"/>
  </r>
  <r>
    <s v="SP147"/>
    <s v="Twitter"/>
    <d v="2024-01-21T00:00:00"/>
    <s v="Story"/>
    <s v="Discover fresh beats on Spotify!"/>
    <n v="2383"/>
    <n v="136"/>
    <n v="302"/>
    <n v="39187"/>
    <n v="22133"/>
    <n v="208"/>
    <n v="7.1988159338556151E-2"/>
    <n v="196"/>
    <x v="1"/>
    <n v="2821"/>
  </r>
  <r>
    <s v="SP148"/>
    <s v="Twitter"/>
    <d v="2025-02-08T00:00:00"/>
    <s v="Story"/>
    <s v="Your weekend playlist is waiting."/>
    <n v="4752"/>
    <n v="334"/>
    <n v="56"/>
    <n v="48017"/>
    <n v="55534"/>
    <n v="270"/>
    <n v="0.10708707332819627"/>
    <n v="92"/>
    <x v="2"/>
    <n v="5142"/>
  </r>
  <r>
    <s v="SP148"/>
    <s v="Twitter"/>
    <d v="2025-02-08T00:00:00"/>
    <s v="Story"/>
    <s v="Your weekend playlist is waiting."/>
    <n v="4752"/>
    <n v="334"/>
    <n v="56"/>
    <n v="48017"/>
    <n v="55534"/>
    <n v="270"/>
    <n v="0.10708707332819627"/>
    <n v="92"/>
    <x v="3"/>
    <n v="5142"/>
  </r>
  <r>
    <s v="SP149"/>
    <s v="Twitter"/>
    <d v="2025-04-13T00:00:00"/>
    <s v="Text"/>
    <s v="From pop to podcasts, it's all here."/>
    <n v="3890"/>
    <n v="408"/>
    <n v="338"/>
    <n v="56994"/>
    <n v="32621"/>
    <n v="286"/>
    <n v="8.1341895638137346E-2"/>
    <n v="173"/>
    <x v="0"/>
    <n v="4636"/>
  </r>
  <r>
    <s v="SP150"/>
    <s v="Twitter"/>
    <d v="2024-05-30T00:00:00"/>
    <s v="Story"/>
    <s v="Your weekend playlist is waiting."/>
    <n v="2311"/>
    <n v="207"/>
    <n v="363"/>
    <n v="30349"/>
    <n v="32925"/>
    <n v="88"/>
    <n v="9.4928992718046723E-2"/>
    <n v="120"/>
    <x v="3"/>
    <n v="2881"/>
  </r>
  <r>
    <s v="SP150"/>
    <s v="Twitter"/>
    <d v="2024-05-30T00:00:00"/>
    <s v="Story"/>
    <s v="Your weekend playlist is waiting."/>
    <n v="2311"/>
    <n v="207"/>
    <n v="363"/>
    <n v="30349"/>
    <n v="32925"/>
    <n v="88"/>
    <n v="9.4928992718046723E-2"/>
    <n v="120"/>
    <x v="1"/>
    <n v="2881"/>
  </r>
  <r>
    <s v="SP151"/>
    <s v="Instagram"/>
    <d v="2024-08-12T00:00:00"/>
    <s v="Story"/>
    <s v="Discover fresh beats on Spotify!"/>
    <n v="2962"/>
    <n v="400"/>
    <n v="280"/>
    <n v="52508"/>
    <n v="58329"/>
    <n v="219"/>
    <n v="6.9360859297630834E-2"/>
    <n v="204"/>
    <x v="1"/>
    <n v="3642"/>
  </r>
  <r>
    <s v="SP152"/>
    <s v="Instagram"/>
    <d v="2024-09-27T00:00:00"/>
    <s v="Text"/>
    <s v="Discover fresh beats on Spotify!"/>
    <n v="3118"/>
    <n v="116"/>
    <n v="195"/>
    <n v="37100"/>
    <n v="62629"/>
    <n v="272"/>
    <n v="9.2425876010781671E-2"/>
    <n v="133"/>
    <x v="2"/>
    <n v="3429"/>
  </r>
  <r>
    <s v="SP153"/>
    <s v="Twitter"/>
    <d v="2025-06-11T00:00:00"/>
    <s v="Story"/>
    <s v="Explore the latest podcasts now."/>
    <n v="3805"/>
    <n v="453"/>
    <n v="63"/>
    <n v="52395"/>
    <n v="72934"/>
    <n v="87"/>
    <n v="8.2469701307376658E-2"/>
    <n v="168"/>
    <x v="2"/>
    <n v="4321"/>
  </r>
  <r>
    <s v="SP153"/>
    <s v="Twitter"/>
    <d v="2025-06-11T00:00:00"/>
    <s v="Story"/>
    <s v="Explore the latest podcasts now."/>
    <n v="3805"/>
    <n v="453"/>
    <n v="63"/>
    <n v="52395"/>
    <n v="72934"/>
    <n v="87"/>
    <n v="8.2469701307376658E-2"/>
    <n v="168"/>
    <x v="3"/>
    <n v="4321"/>
  </r>
  <r>
    <s v="SP154"/>
    <s v="Instagram"/>
    <d v="2024-11-19T00:00:00"/>
    <s v="Text"/>
    <s v="What's your vibe today? #SpotifyHits"/>
    <n v="2525"/>
    <n v="272"/>
    <n v="294"/>
    <n v="51875"/>
    <n v="24732"/>
    <n v="92"/>
    <n v="5.9585542168674697E-2"/>
    <n v="225"/>
    <x v="2"/>
    <n v="3091"/>
  </r>
  <r>
    <s v="SP155"/>
    <s v="Instagram"/>
    <d v="2024-04-25T00:00:00"/>
    <s v="Text"/>
    <s v="Music that moves you-only on Spotify."/>
    <n v="3563"/>
    <n v="483"/>
    <n v="227"/>
    <n v="41085"/>
    <n v="26393"/>
    <n v="236"/>
    <n v="0.10400389436534015"/>
    <n v="100"/>
    <x v="0"/>
    <n v="4273"/>
  </r>
  <r>
    <s v="SP155"/>
    <s v="Instagram"/>
    <d v="2024-04-25T00:00:00"/>
    <s v="Text"/>
    <s v="Music that moves you-only on Spotify."/>
    <n v="3563"/>
    <n v="483"/>
    <n v="227"/>
    <n v="41085"/>
    <n v="26393"/>
    <n v="236"/>
    <n v="0.10400389436534015"/>
    <n v="100"/>
    <x v="1"/>
    <n v="4273"/>
  </r>
  <r>
    <s v="SP156"/>
    <s v="YouTube"/>
    <d v="2024-09-03T00:00:00"/>
    <s v="Reel"/>
    <s v="What's your vibe today? #SpotifyHits"/>
    <n v="1437"/>
    <n v="494"/>
    <n v="129"/>
    <n v="53048"/>
    <n v="44090"/>
    <n v="230"/>
    <n v="3.8832755240536872E-2"/>
    <n v="281"/>
    <x v="2"/>
    <n v="2060"/>
  </r>
  <r>
    <s v="SP156"/>
    <s v="YouTube"/>
    <d v="2024-09-03T00:00:00"/>
    <s v="Reel"/>
    <s v="What's your vibe today? #SpotifyHits"/>
    <n v="1437"/>
    <n v="494"/>
    <n v="129"/>
    <n v="53048"/>
    <n v="44090"/>
    <n v="230"/>
    <n v="3.8832755240536872E-2"/>
    <n v="281"/>
    <x v="0"/>
    <n v="2060"/>
  </r>
  <r>
    <s v="SP157"/>
    <s v="YouTube"/>
    <d v="2025-03-02T00:00:00"/>
    <s v="Text"/>
    <s v="From pop to podcasts, it's all here."/>
    <n v="4425"/>
    <n v="185"/>
    <n v="162"/>
    <n v="24610"/>
    <n v="21342"/>
    <n v="158"/>
    <n v="0.19390491670052823"/>
    <n v="7"/>
    <x v="2"/>
    <n v="4772"/>
  </r>
  <r>
    <s v="SP157"/>
    <s v="YouTube"/>
    <d v="2025-03-02T00:00:00"/>
    <s v="Text"/>
    <s v="From pop to podcasts, it's all here."/>
    <n v="4425"/>
    <n v="185"/>
    <n v="162"/>
    <n v="24610"/>
    <n v="21342"/>
    <n v="158"/>
    <n v="0.19390491670052823"/>
    <n v="7"/>
    <x v="4"/>
    <n v="4772"/>
  </r>
  <r>
    <s v="SP158"/>
    <s v="Twitter"/>
    <d v="2025-03-21T00:00:00"/>
    <s v="Story"/>
    <s v="New music just dropped. Hit play!"/>
    <n v="4609"/>
    <n v="427"/>
    <n v="395"/>
    <n v="33698"/>
    <n v="29259"/>
    <n v="216"/>
    <n v="0.16116683482699271"/>
    <n v="27"/>
    <x v="2"/>
    <n v="5431"/>
  </r>
  <r>
    <s v="SP158"/>
    <s v="Twitter"/>
    <d v="2025-03-21T00:00:00"/>
    <s v="Story"/>
    <s v="New music just dropped. Hit play!"/>
    <n v="4609"/>
    <n v="427"/>
    <n v="395"/>
    <n v="33698"/>
    <n v="29259"/>
    <n v="216"/>
    <n v="0.16116683482699271"/>
    <n v="27"/>
    <x v="3"/>
    <n v="5431"/>
  </r>
  <r>
    <s v="SP159"/>
    <s v="Instagram"/>
    <d v="2024-04-12T00:00:00"/>
    <s v="Story"/>
    <s v="Get into the groove with our new drop!"/>
    <n v="1558"/>
    <n v="352"/>
    <n v="202"/>
    <n v="25405"/>
    <n v="69941"/>
    <n v="219"/>
    <n v="8.3133241487896081E-2"/>
    <n v="164"/>
    <x v="1"/>
    <n v="2112"/>
  </r>
  <r>
    <s v="SP160"/>
    <s v="YouTube"/>
    <d v="2024-02-08T00:00:00"/>
    <s v="Reel"/>
    <s v="Top trending tracks updated daily!"/>
    <n v="1889"/>
    <n v="298"/>
    <n v="122"/>
    <n v="46225"/>
    <n v="74305"/>
    <n v="293"/>
    <n v="4.9951325040562468E-2"/>
    <n v="255"/>
    <x v="2"/>
    <n v="2309"/>
  </r>
  <r>
    <s v="SP160"/>
    <s v="YouTube"/>
    <d v="2024-02-08T00:00:00"/>
    <s v="Reel"/>
    <s v="Top trending tracks updated daily!"/>
    <n v="1889"/>
    <n v="298"/>
    <n v="122"/>
    <n v="46225"/>
    <n v="74305"/>
    <n v="293"/>
    <n v="4.9951325040562468E-2"/>
    <n v="255"/>
    <x v="0"/>
    <n v="2309"/>
  </r>
  <r>
    <s v="SP161"/>
    <s v="Instagram"/>
    <d v="2025-05-26T00:00:00"/>
    <s v="Text"/>
    <s v="Discover fresh beats on Spotify!"/>
    <n v="3086"/>
    <n v="148"/>
    <n v="310"/>
    <n v="22824"/>
    <n v="58103"/>
    <n v="275"/>
    <n v="0.1552751489660007"/>
    <n v="32"/>
    <x v="2"/>
    <n v="3544"/>
  </r>
  <r>
    <s v="SP162"/>
    <s v="Instagram"/>
    <d v="2024-11-14T00:00:00"/>
    <s v="Text"/>
    <s v="Music that moves you-only on Spotify."/>
    <n v="2422"/>
    <n v="318"/>
    <n v="118"/>
    <n v="25386"/>
    <n v="20873"/>
    <n v="100"/>
    <n v="0.11258173796580792"/>
    <n v="76"/>
    <x v="0"/>
    <n v="2858"/>
  </r>
  <r>
    <s v="SP162"/>
    <s v="Instagram"/>
    <d v="2024-11-14T00:00:00"/>
    <s v="Text"/>
    <s v="Music that moves you-only on Spotify."/>
    <n v="2422"/>
    <n v="318"/>
    <n v="118"/>
    <n v="25386"/>
    <n v="20873"/>
    <n v="100"/>
    <n v="0.11258173796580792"/>
    <n v="76"/>
    <x v="1"/>
    <n v="2858"/>
  </r>
  <r>
    <s v="SP163"/>
    <s v="YouTube"/>
    <d v="2024-08-09T00:00:00"/>
    <s v="Reel"/>
    <s v="From pop to podcasts, it's all here."/>
    <n v="3414"/>
    <n v="154"/>
    <n v="204"/>
    <n v="34146"/>
    <n v="44633"/>
    <n v="256"/>
    <n v="0.11046681895390383"/>
    <n v="81"/>
    <x v="2"/>
    <n v="3772"/>
  </r>
  <r>
    <s v="SP163"/>
    <s v="YouTube"/>
    <d v="2024-08-09T00:00:00"/>
    <s v="Reel"/>
    <s v="From pop to podcasts, it's all here."/>
    <n v="3414"/>
    <n v="154"/>
    <n v="204"/>
    <n v="34146"/>
    <n v="44633"/>
    <n v="256"/>
    <n v="0.11046681895390383"/>
    <n v="81"/>
    <x v="0"/>
    <n v="3772"/>
  </r>
  <r>
    <s v="SP164"/>
    <s v="Instagram"/>
    <d v="2025-06-27T00:00:00"/>
    <s v="Story"/>
    <s v="What's your vibe today? #SpotifyHits"/>
    <n v="1342"/>
    <n v="332"/>
    <n v="163"/>
    <n v="51712"/>
    <n v="57922"/>
    <n v="168"/>
    <n v="3.5523669554455448E-2"/>
    <n v="286"/>
    <x v="1"/>
    <n v="1837"/>
  </r>
  <r>
    <s v="SP165"/>
    <s v="Instagram"/>
    <d v="2024-05-08T00:00:00"/>
    <s v="Story"/>
    <s v="Music that moves you-only on Spotify."/>
    <n v="2414"/>
    <n v="220"/>
    <n v="280"/>
    <n v="27355"/>
    <n v="50562"/>
    <n v="258"/>
    <n v="0.10652531529884847"/>
    <n v="94"/>
    <x v="1"/>
    <n v="2914"/>
  </r>
  <r>
    <s v="SP166"/>
    <s v="Instagram"/>
    <d v="2024-04-05T00:00:00"/>
    <s v="Text"/>
    <s v="New music just dropped. Hit play!"/>
    <n v="4383"/>
    <n v="352"/>
    <n v="176"/>
    <n v="53239"/>
    <n v="34168"/>
    <n v="288"/>
    <n v="9.2244407295403744E-2"/>
    <n v="134"/>
    <x v="2"/>
    <n v="4911"/>
  </r>
  <r>
    <s v="SP167"/>
    <s v="YouTube"/>
    <d v="2025-01-27T00:00:00"/>
    <s v="Text"/>
    <s v="Wrapped is here! Relive your top tracks "/>
    <n v="4294"/>
    <n v="423"/>
    <n v="93"/>
    <n v="29828"/>
    <n v="73144"/>
    <n v="298"/>
    <n v="0.1612578785034196"/>
    <n v="26"/>
    <x v="2"/>
    <n v="4810"/>
  </r>
  <r>
    <s v="SP167"/>
    <s v="YouTube"/>
    <d v="2025-01-27T00:00:00"/>
    <s v="Text"/>
    <s v="Wrapped is here! Relive your top tracks "/>
    <n v="4294"/>
    <n v="423"/>
    <n v="93"/>
    <n v="29828"/>
    <n v="73144"/>
    <n v="298"/>
    <n v="0.1612578785034196"/>
    <n v="26"/>
    <x v="4"/>
    <n v="4810"/>
  </r>
  <r>
    <s v="SP168"/>
    <s v="Instagram"/>
    <d v="2024-04-03T00:00:00"/>
    <s v="Text"/>
    <s v="Top trending tracks updated daily!"/>
    <n v="2762"/>
    <n v="339"/>
    <n v="323"/>
    <n v="33757"/>
    <n v="68511"/>
    <n v="121"/>
    <n v="0.10143081434961637"/>
    <n v="106"/>
    <x v="0"/>
    <n v="3424"/>
  </r>
  <r>
    <s v="SP168"/>
    <s v="Instagram"/>
    <d v="2024-04-03T00:00:00"/>
    <s v="Text"/>
    <s v="Top trending tracks updated daily!"/>
    <n v="2762"/>
    <n v="339"/>
    <n v="323"/>
    <n v="33757"/>
    <n v="68511"/>
    <n v="121"/>
    <n v="0.10143081434961637"/>
    <n v="106"/>
    <x v="1"/>
    <n v="3424"/>
  </r>
  <r>
    <s v="SP169"/>
    <s v="YouTube"/>
    <d v="2025-01-03T00:00:00"/>
    <s v="Text"/>
    <s v="New music just dropped. Hit play!"/>
    <n v="3782"/>
    <n v="484"/>
    <n v="144"/>
    <n v="52172"/>
    <n v="59386"/>
    <n v="175"/>
    <n v="8.4528099363643333E-2"/>
    <n v="157"/>
    <x v="2"/>
    <n v="4410"/>
  </r>
  <r>
    <s v="SP169"/>
    <s v="YouTube"/>
    <d v="2025-01-03T00:00:00"/>
    <s v="Text"/>
    <s v="New music just dropped. Hit play!"/>
    <n v="3782"/>
    <n v="484"/>
    <n v="144"/>
    <n v="52172"/>
    <n v="59386"/>
    <n v="175"/>
    <n v="8.4528099363643333E-2"/>
    <n v="157"/>
    <x v="4"/>
    <n v="4410"/>
  </r>
  <r>
    <s v="SP170"/>
    <s v="Twitter"/>
    <d v="2024-11-23T00:00:00"/>
    <s v="Text"/>
    <s v="New music just dropped. Hit play!"/>
    <n v="4318"/>
    <n v="371"/>
    <n v="329"/>
    <n v="32347"/>
    <n v="68956"/>
    <n v="259"/>
    <n v="0.15513030574705536"/>
    <n v="33"/>
    <x v="0"/>
    <n v="5018"/>
  </r>
  <r>
    <s v="SP171"/>
    <s v="Instagram"/>
    <d v="2024-09-01T00:00:00"/>
    <s v="Story"/>
    <s v="Wrapped is here! Relive your top tracks "/>
    <n v="2335"/>
    <n v="150"/>
    <n v="75"/>
    <n v="26114"/>
    <n v="57549"/>
    <n v="135"/>
    <n v="9.8031707130274953E-2"/>
    <n v="114"/>
    <x v="1"/>
    <n v="2560"/>
  </r>
  <r>
    <s v="SP172"/>
    <s v="YouTube"/>
    <d v="2024-04-18T00:00:00"/>
    <s v="Text"/>
    <s v="Explore the latest podcasts now."/>
    <n v="4023"/>
    <n v="293"/>
    <n v="91"/>
    <n v="26795"/>
    <n v="28924"/>
    <n v="278"/>
    <n v="0.16447098339242397"/>
    <n v="23"/>
    <x v="2"/>
    <n v="4407"/>
  </r>
  <r>
    <s v="SP172"/>
    <s v="YouTube"/>
    <d v="2024-04-18T00:00:00"/>
    <s v="Text"/>
    <s v="Explore the latest podcasts now."/>
    <n v="4023"/>
    <n v="293"/>
    <n v="91"/>
    <n v="26795"/>
    <n v="28924"/>
    <n v="278"/>
    <n v="0.16447098339242397"/>
    <n v="23"/>
    <x v="4"/>
    <n v="4407"/>
  </r>
  <r>
    <s v="SP173"/>
    <s v="Instagram"/>
    <d v="2024-06-04T00:00:00"/>
    <s v="Text"/>
    <s v="Get into the groove with our new drop!"/>
    <n v="3948"/>
    <n v="151"/>
    <n v="249"/>
    <n v="43147"/>
    <n v="63136"/>
    <n v="230"/>
    <n v="0.10077178019329269"/>
    <n v="108"/>
    <x v="2"/>
    <n v="4348"/>
  </r>
  <r>
    <s v="SP174"/>
    <s v="YouTube"/>
    <d v="2025-04-02T00:00:00"/>
    <s v="Text"/>
    <s v="Wrapped is here! Relive your top tracks "/>
    <n v="4598"/>
    <n v="455"/>
    <n v="378"/>
    <n v="52952"/>
    <n v="58504"/>
    <n v="269"/>
    <n v="0.10256458679558846"/>
    <n v="103"/>
    <x v="2"/>
    <n v="5431"/>
  </r>
  <r>
    <s v="SP174"/>
    <s v="YouTube"/>
    <d v="2025-04-02T00:00:00"/>
    <s v="Text"/>
    <s v="Wrapped is here! Relive your top tracks "/>
    <n v="4598"/>
    <n v="455"/>
    <n v="378"/>
    <n v="52952"/>
    <n v="58504"/>
    <n v="269"/>
    <n v="0.10256458679558846"/>
    <n v="103"/>
    <x v="4"/>
    <n v="5431"/>
  </r>
  <r>
    <s v="SP175"/>
    <s v="Twitter"/>
    <d v="2025-04-01T00:00:00"/>
    <s v="Story"/>
    <s v="Music that moves you-only on Spotify."/>
    <n v="2665"/>
    <n v="143"/>
    <n v="315"/>
    <n v="54808"/>
    <n v="29818"/>
    <n v="98"/>
    <n v="5.6980732739746021E-2"/>
    <n v="233"/>
    <x v="2"/>
    <n v="3123"/>
  </r>
  <r>
    <s v="SP175"/>
    <s v="Twitter"/>
    <d v="2025-04-01T00:00:00"/>
    <s v="Story"/>
    <s v="Music that moves you-only on Spotify."/>
    <n v="2665"/>
    <n v="143"/>
    <n v="315"/>
    <n v="54808"/>
    <n v="29818"/>
    <n v="98"/>
    <n v="5.6980732739746021E-2"/>
    <n v="233"/>
    <x v="3"/>
    <n v="3123"/>
  </r>
  <r>
    <s v="SP176"/>
    <s v="Instagram"/>
    <d v="2024-07-02T00:00:00"/>
    <s v="Text"/>
    <s v="Top trending tracks updated daily!"/>
    <n v="3469"/>
    <n v="371"/>
    <n v="76"/>
    <n v="46493"/>
    <n v="26906"/>
    <n v="150"/>
    <n v="8.4227733207149463E-2"/>
    <n v="159"/>
    <x v="0"/>
    <n v="3916"/>
  </r>
  <r>
    <s v="SP176"/>
    <s v="Instagram"/>
    <d v="2024-07-02T00:00:00"/>
    <s v="Text"/>
    <s v="Top trending tracks updated daily!"/>
    <n v="3469"/>
    <n v="371"/>
    <n v="76"/>
    <n v="46493"/>
    <n v="26906"/>
    <n v="150"/>
    <n v="8.4227733207149463E-2"/>
    <n v="159"/>
    <x v="1"/>
    <n v="3916"/>
  </r>
  <r>
    <s v="SP177"/>
    <s v="Twitter"/>
    <d v="2024-11-10T00:00:00"/>
    <s v="Text"/>
    <s v="Explore the latest podcasts now."/>
    <n v="4823"/>
    <n v="489"/>
    <n v="302"/>
    <n v="32470"/>
    <n v="31861"/>
    <n v="178"/>
    <n v="0.1728980597474592"/>
    <n v="16"/>
    <x v="0"/>
    <n v="5614"/>
  </r>
  <r>
    <s v="SP178"/>
    <s v="Instagram"/>
    <d v="2024-12-14T00:00:00"/>
    <s v="Story"/>
    <s v="From pop to podcasts, it's all here."/>
    <n v="3812"/>
    <n v="321"/>
    <n v="289"/>
    <n v="59838"/>
    <n v="36337"/>
    <n v="161"/>
    <n v="7.3899528727564417E-2"/>
    <n v="192"/>
    <x v="1"/>
    <n v="4422"/>
  </r>
  <r>
    <s v="SP179"/>
    <s v="Twitter"/>
    <d v="2024-11-19T00:00:00"/>
    <s v="Text"/>
    <s v="Explore the latest podcasts now."/>
    <n v="2387"/>
    <n v="353"/>
    <n v="78"/>
    <n v="39745"/>
    <n v="69226"/>
    <n v="208"/>
    <n v="7.090200025160398E-2"/>
    <n v="199"/>
    <x v="0"/>
    <n v="2818"/>
  </r>
  <r>
    <s v="SP180"/>
    <s v="Twitter"/>
    <d v="2025-04-30T00:00:00"/>
    <s v="Story"/>
    <s v="Wrapped is here! Relive your top tracks "/>
    <n v="3929"/>
    <n v="275"/>
    <n v="330"/>
    <n v="58329"/>
    <n v="33196"/>
    <n v="85"/>
    <n v="7.7731488624869283E-2"/>
    <n v="183"/>
    <x v="3"/>
    <n v="4534"/>
  </r>
  <r>
    <s v="SP180"/>
    <s v="Twitter"/>
    <d v="2025-04-30T00:00:00"/>
    <s v="Story"/>
    <s v="Wrapped is here! Relive your top tracks "/>
    <n v="3929"/>
    <n v="275"/>
    <n v="330"/>
    <n v="58329"/>
    <n v="33196"/>
    <n v="85"/>
    <n v="7.7731488624869283E-2"/>
    <n v="183"/>
    <x v="1"/>
    <n v="4534"/>
  </r>
  <r>
    <s v="SP181"/>
    <s v="Twitter"/>
    <d v="2024-03-19T00:00:00"/>
    <s v="Text"/>
    <s v="From pop to podcasts, it's all here."/>
    <n v="2191"/>
    <n v="288"/>
    <n v="83"/>
    <n v="59606"/>
    <n v="24765"/>
    <n v="281"/>
    <n v="4.2982250109049422E-2"/>
    <n v="272"/>
    <x v="0"/>
    <n v="2562"/>
  </r>
  <r>
    <s v="SP182"/>
    <s v="Instagram"/>
    <d v="2024-03-19T00:00:00"/>
    <s v="Text"/>
    <s v="From pop to podcasts, it's all here."/>
    <n v="2878"/>
    <n v="278"/>
    <n v="255"/>
    <n v="47235"/>
    <n v="57922"/>
    <n v="112"/>
    <n v="7.2213401079707848E-2"/>
    <n v="195"/>
    <x v="0"/>
    <n v="3411"/>
  </r>
  <r>
    <s v="SP182"/>
    <s v="Instagram"/>
    <d v="2024-03-19T00:00:00"/>
    <s v="Text"/>
    <s v="From pop to podcasts, it's all here."/>
    <n v="2878"/>
    <n v="278"/>
    <n v="255"/>
    <n v="47235"/>
    <n v="57922"/>
    <n v="112"/>
    <n v="7.2213401079707848E-2"/>
    <n v="195"/>
    <x v="1"/>
    <n v="3411"/>
  </r>
  <r>
    <s v="SP183"/>
    <s v="Twitter"/>
    <d v="2024-07-23T00:00:00"/>
    <s v="Text"/>
    <s v="Top trending tracks updated daily!"/>
    <n v="3204"/>
    <n v="398"/>
    <n v="85"/>
    <n v="22020"/>
    <n v="58353"/>
    <n v="286"/>
    <n v="0.16743869209809265"/>
    <n v="19"/>
    <x v="0"/>
    <n v="3687"/>
  </r>
  <r>
    <s v="SP184"/>
    <s v="Twitter"/>
    <d v="2024-07-13T00:00:00"/>
    <s v="Story"/>
    <s v="Get into the groove with our new drop!"/>
    <n v="2408"/>
    <n v="323"/>
    <n v="251"/>
    <n v="47599"/>
    <n v="35543"/>
    <n v="287"/>
    <n v="6.2648374965860634E-2"/>
    <n v="217"/>
    <x v="3"/>
    <n v="2982"/>
  </r>
  <r>
    <s v="SP184"/>
    <s v="Twitter"/>
    <d v="2024-07-13T00:00:00"/>
    <s v="Story"/>
    <s v="Get into the groove with our new drop!"/>
    <n v="2408"/>
    <n v="323"/>
    <n v="251"/>
    <n v="47599"/>
    <n v="35543"/>
    <n v="287"/>
    <n v="6.2648374965860634E-2"/>
    <n v="217"/>
    <x v="1"/>
    <n v="2982"/>
  </r>
  <r>
    <s v="SP185"/>
    <s v="YouTube"/>
    <d v="2025-04-22T00:00:00"/>
    <s v="Reel"/>
    <s v="New music just dropped. Hit play!"/>
    <n v="2733"/>
    <n v="297"/>
    <n v="235"/>
    <n v="37980"/>
    <n v="33058"/>
    <n v="219"/>
    <n v="8.5966298051606105E-2"/>
    <n v="152"/>
    <x v="2"/>
    <n v="3265"/>
  </r>
  <r>
    <s v="SP185"/>
    <s v="YouTube"/>
    <d v="2025-04-22T00:00:00"/>
    <s v="Reel"/>
    <s v="New music just dropped. Hit play!"/>
    <n v="2733"/>
    <n v="297"/>
    <n v="235"/>
    <n v="37980"/>
    <n v="33058"/>
    <n v="219"/>
    <n v="8.5966298051606105E-2"/>
    <n v="152"/>
    <x v="0"/>
    <n v="3265"/>
  </r>
  <r>
    <s v="SP186"/>
    <s v="Twitter"/>
    <d v="2024-06-16T00:00:00"/>
    <s v="Story"/>
    <s v="Explore the latest podcasts now."/>
    <n v="4618"/>
    <n v="312"/>
    <n v="254"/>
    <n v="22571"/>
    <n v="29453"/>
    <n v="197"/>
    <n v="0.22967524699836073"/>
    <n v="3"/>
    <x v="3"/>
    <n v="5184"/>
  </r>
  <r>
    <s v="SP186"/>
    <s v="Twitter"/>
    <d v="2024-06-16T00:00:00"/>
    <s v="Story"/>
    <s v="Explore the latest podcasts now."/>
    <n v="4618"/>
    <n v="312"/>
    <n v="254"/>
    <n v="22571"/>
    <n v="29453"/>
    <n v="197"/>
    <n v="0.22967524699836073"/>
    <n v="3"/>
    <x v="1"/>
    <n v="5184"/>
  </r>
  <r>
    <s v="SP187"/>
    <s v="YouTube"/>
    <d v="2025-05-18T00:00:00"/>
    <s v="Reel"/>
    <s v="Wrapped is here! Relive your top tracks "/>
    <n v="4210"/>
    <n v="319"/>
    <n v="350"/>
    <n v="37762"/>
    <n v="55162"/>
    <n v="204"/>
    <n v="0.12920396165457337"/>
    <n v="58"/>
    <x v="2"/>
    <n v="4879"/>
  </r>
  <r>
    <s v="SP187"/>
    <s v="YouTube"/>
    <d v="2025-05-18T00:00:00"/>
    <s v="Reel"/>
    <s v="Wrapped is here! Relive your top tracks "/>
    <n v="4210"/>
    <n v="319"/>
    <n v="350"/>
    <n v="37762"/>
    <n v="55162"/>
    <n v="204"/>
    <n v="0.12920396165457337"/>
    <n v="58"/>
    <x v="0"/>
    <n v="4879"/>
  </r>
  <r>
    <s v="SP188"/>
    <s v="Instagram"/>
    <d v="2025-06-06T00:00:00"/>
    <s v="Text"/>
    <s v="Wrapped is here! Relive your top tracks "/>
    <n v="3987"/>
    <n v="171"/>
    <n v="274"/>
    <n v="45122"/>
    <n v="65431"/>
    <n v="168"/>
    <n v="9.8222596516111871E-2"/>
    <n v="111"/>
    <x v="2"/>
    <n v="4432"/>
  </r>
  <r>
    <s v="SP189"/>
    <s v="YouTube"/>
    <d v="2025-02-20T00:00:00"/>
    <s v="Reel"/>
    <s v="Get into the groove with our new drop!"/>
    <n v="4957"/>
    <n v="262"/>
    <n v="365"/>
    <n v="49199"/>
    <n v="40314"/>
    <n v="216"/>
    <n v="0.11349824183418362"/>
    <n v="74"/>
    <x v="2"/>
    <n v="5584"/>
  </r>
  <r>
    <s v="SP189"/>
    <s v="YouTube"/>
    <d v="2025-02-20T00:00:00"/>
    <s v="Reel"/>
    <s v="Get into the groove with our new drop!"/>
    <n v="4957"/>
    <n v="262"/>
    <n v="365"/>
    <n v="49199"/>
    <n v="40314"/>
    <n v="216"/>
    <n v="0.11349824183418362"/>
    <n v="74"/>
    <x v="0"/>
    <n v="5584"/>
  </r>
  <r>
    <s v="SP190"/>
    <s v="Instagram"/>
    <d v="2025-01-16T00:00:00"/>
    <s v="Text"/>
    <s v="Music that moves you-only on Spotify."/>
    <n v="2605"/>
    <n v="282"/>
    <n v="148"/>
    <n v="32201"/>
    <n v="49583"/>
    <n v="241"/>
    <n v="9.4251731312692155E-2"/>
    <n v="124"/>
    <x v="0"/>
    <n v="3035"/>
  </r>
  <r>
    <s v="SP190"/>
    <s v="Instagram"/>
    <d v="2025-01-16T00:00:00"/>
    <s v="Text"/>
    <s v="Music that moves you-only on Spotify."/>
    <n v="2605"/>
    <n v="282"/>
    <n v="148"/>
    <n v="32201"/>
    <n v="49583"/>
    <n v="241"/>
    <n v="9.4251731312692155E-2"/>
    <n v="124"/>
    <x v="1"/>
    <n v="3035"/>
  </r>
  <r>
    <s v="SP191"/>
    <s v="YouTube"/>
    <d v="2024-02-24T00:00:00"/>
    <s v="Reel"/>
    <s v="Discover fresh beats on Spotify!"/>
    <n v="4221"/>
    <n v="307"/>
    <n v="58"/>
    <n v="45080"/>
    <n v="37214"/>
    <n v="240"/>
    <n v="0.10173025732031943"/>
    <n v="105"/>
    <x v="2"/>
    <n v="4586"/>
  </r>
  <r>
    <s v="SP191"/>
    <s v="YouTube"/>
    <d v="2024-02-24T00:00:00"/>
    <s v="Reel"/>
    <s v="Discover fresh beats on Spotify!"/>
    <n v="4221"/>
    <n v="307"/>
    <n v="58"/>
    <n v="45080"/>
    <n v="37214"/>
    <n v="240"/>
    <n v="0.10173025732031943"/>
    <n v="105"/>
    <x v="0"/>
    <n v="4586"/>
  </r>
  <r>
    <s v="SP192"/>
    <s v="Twitter"/>
    <d v="2024-09-16T00:00:00"/>
    <s v="Story"/>
    <s v="What's your vibe today? #SpotifyHits"/>
    <n v="4422"/>
    <n v="434"/>
    <n v="156"/>
    <n v="56165"/>
    <n v="52431"/>
    <n v="173"/>
    <n v="8.9237069349238848E-2"/>
    <n v="139"/>
    <x v="2"/>
    <n v="5012"/>
  </r>
  <r>
    <s v="SP192"/>
    <s v="Twitter"/>
    <d v="2024-09-16T00:00:00"/>
    <s v="Story"/>
    <s v="What's your vibe today? #SpotifyHits"/>
    <n v="4422"/>
    <n v="434"/>
    <n v="156"/>
    <n v="56165"/>
    <n v="52431"/>
    <n v="173"/>
    <n v="8.9237069349238848E-2"/>
    <n v="139"/>
    <x v="3"/>
    <n v="5012"/>
  </r>
  <r>
    <s v="SP193"/>
    <s v="YouTube"/>
    <d v="2024-06-04T00:00:00"/>
    <s v="Reel"/>
    <s v="Wrapped is here! Relive your top tracks "/>
    <n v="1211"/>
    <n v="431"/>
    <n v="83"/>
    <n v="26532"/>
    <n v="47305"/>
    <n v="232"/>
    <n v="6.5015829941203071E-2"/>
    <n v="211"/>
    <x v="2"/>
    <n v="1725"/>
  </r>
  <r>
    <s v="SP193"/>
    <s v="YouTube"/>
    <d v="2024-06-04T00:00:00"/>
    <s v="Reel"/>
    <s v="Wrapped is here! Relive your top tracks "/>
    <n v="1211"/>
    <n v="431"/>
    <n v="83"/>
    <n v="26532"/>
    <n v="47305"/>
    <n v="232"/>
    <n v="6.5015829941203071E-2"/>
    <n v="211"/>
    <x v="0"/>
    <n v="1725"/>
  </r>
  <r>
    <s v="SP194"/>
    <s v="Twitter"/>
    <d v="2024-05-10T00:00:00"/>
    <s v="Story"/>
    <s v="Explore the latest podcasts now."/>
    <n v="2784"/>
    <n v="111"/>
    <n v="399"/>
    <n v="58366"/>
    <n v="69512"/>
    <n v="269"/>
    <n v="5.6436966727204191E-2"/>
    <n v="234"/>
    <x v="3"/>
    <n v="3294"/>
  </r>
  <r>
    <s v="SP194"/>
    <s v="Twitter"/>
    <d v="2024-05-10T00:00:00"/>
    <s v="Story"/>
    <s v="Explore the latest podcasts now."/>
    <n v="2784"/>
    <n v="111"/>
    <n v="399"/>
    <n v="58366"/>
    <n v="69512"/>
    <n v="269"/>
    <n v="5.6436966727204191E-2"/>
    <n v="234"/>
    <x v="1"/>
    <n v="3294"/>
  </r>
  <r>
    <s v="SP195"/>
    <s v="YouTube"/>
    <d v="2024-01-14T00:00:00"/>
    <s v="Text"/>
    <s v="New music just dropped. Hit play!"/>
    <n v="3634"/>
    <n v="280"/>
    <n v="399"/>
    <n v="40256"/>
    <n v="52605"/>
    <n v="213"/>
    <n v="0.10713930842607314"/>
    <n v="91"/>
    <x v="2"/>
    <n v="4313"/>
  </r>
  <r>
    <s v="SP195"/>
    <s v="YouTube"/>
    <d v="2024-01-14T00:00:00"/>
    <s v="Text"/>
    <s v="New music just dropped. Hit play!"/>
    <n v="3634"/>
    <n v="280"/>
    <n v="399"/>
    <n v="40256"/>
    <n v="52605"/>
    <n v="213"/>
    <n v="0.10713930842607314"/>
    <n v="91"/>
    <x v="4"/>
    <n v="4313"/>
  </r>
  <r>
    <s v="SP196"/>
    <s v="Instagram"/>
    <d v="2025-01-12T00:00:00"/>
    <s v="Text"/>
    <s v="From pop to podcasts, it's all here."/>
    <n v="1771"/>
    <n v="487"/>
    <n v="272"/>
    <n v="48810"/>
    <n v="48084"/>
    <n v="272"/>
    <n v="5.1833640647408315E-2"/>
    <n v="250"/>
    <x v="0"/>
    <n v="2530"/>
  </r>
  <r>
    <s v="SP196"/>
    <s v="Instagram"/>
    <d v="2025-01-12T00:00:00"/>
    <s v="Text"/>
    <s v="From pop to podcasts, it's all here."/>
    <n v="1771"/>
    <n v="487"/>
    <n v="272"/>
    <n v="48810"/>
    <n v="48084"/>
    <n v="272"/>
    <n v="5.1833640647408315E-2"/>
    <n v="250"/>
    <x v="1"/>
    <n v="2530"/>
  </r>
  <r>
    <s v="SP197"/>
    <s v="YouTube"/>
    <d v="2024-12-08T00:00:00"/>
    <s v="Text"/>
    <s v="Top trending tracks updated daily!"/>
    <n v="1424"/>
    <n v="396"/>
    <n v="312"/>
    <n v="59517"/>
    <n v="46102"/>
    <n v="239"/>
    <n v="3.5821698002251455E-2"/>
    <n v="284"/>
    <x v="2"/>
    <n v="2132"/>
  </r>
  <r>
    <s v="SP197"/>
    <s v="YouTube"/>
    <d v="2024-12-08T00:00:00"/>
    <s v="Text"/>
    <s v="Top trending tracks updated daily!"/>
    <n v="1424"/>
    <n v="396"/>
    <n v="312"/>
    <n v="59517"/>
    <n v="46102"/>
    <n v="239"/>
    <n v="3.5821698002251455E-2"/>
    <n v="284"/>
    <x v="4"/>
    <n v="2132"/>
  </r>
  <r>
    <s v="SP198"/>
    <s v="Twitter"/>
    <d v="2025-02-01T00:00:00"/>
    <s v="Story"/>
    <s v="Top trending tracks updated daily!"/>
    <n v="1079"/>
    <n v="265"/>
    <n v="190"/>
    <n v="43786"/>
    <n v="72428"/>
    <n v="222"/>
    <n v="3.5034029141734799E-2"/>
    <n v="287"/>
    <x v="0"/>
    <n v="1534"/>
  </r>
  <r>
    <s v="SP198"/>
    <s v="Twitter"/>
    <d v="2025-02-01T00:00:00"/>
    <s v="Story"/>
    <s v="Top trending tracks updated daily!"/>
    <n v="1079"/>
    <n v="265"/>
    <n v="190"/>
    <n v="43786"/>
    <n v="72428"/>
    <n v="222"/>
    <n v="3.5034029141734799E-2"/>
    <n v="287"/>
    <x v="1"/>
    <n v="1534"/>
  </r>
  <r>
    <s v="SP199"/>
    <s v="Twitter"/>
    <d v="2024-07-11T00:00:00"/>
    <s v="Story"/>
    <s v="Get into the groove with our new drop!"/>
    <n v="4247"/>
    <n v="179"/>
    <n v="175"/>
    <n v="32991"/>
    <n v="70120"/>
    <n v="276"/>
    <n v="0.13946227759085811"/>
    <n v="47"/>
    <x v="0"/>
    <n v="4601"/>
  </r>
  <r>
    <s v="SP199"/>
    <s v="Twitter"/>
    <d v="2024-07-11T00:00:00"/>
    <s v="Story"/>
    <s v="Get into the groove with our new drop!"/>
    <n v="4247"/>
    <n v="179"/>
    <n v="175"/>
    <n v="32991"/>
    <n v="70120"/>
    <n v="276"/>
    <n v="0.13946227759085811"/>
    <n v="47"/>
    <x v="1"/>
    <n v="4601"/>
  </r>
  <r>
    <s v="SP200"/>
    <s v="Twitter"/>
    <d v="2024-03-18T00:00:00"/>
    <s v="Text"/>
    <s v="New music just dropped. Hit play!"/>
    <n v="2033"/>
    <n v="420"/>
    <n v="94"/>
    <n v="56290"/>
    <n v="57391"/>
    <n v="196"/>
    <n v="4.5247823769763724E-2"/>
    <n v="265"/>
    <x v="1"/>
    <n v="2547"/>
  </r>
  <r>
    <s v="SP201"/>
    <s v="Twitter"/>
    <d v="2024-09-12T00:00:00"/>
    <s v="Story"/>
    <s v="Wrapped is here! Relive your top tracks "/>
    <n v="1839"/>
    <n v="223"/>
    <n v="171"/>
    <n v="35459"/>
    <n v="69988"/>
    <n v="114"/>
    <n v="6.2974139146620034E-2"/>
    <n v="216"/>
    <x v="3"/>
    <n v="2233"/>
  </r>
  <r>
    <s v="SP201"/>
    <s v="Twitter"/>
    <d v="2024-09-12T00:00:00"/>
    <s v="Story"/>
    <s v="Wrapped is here! Relive your top tracks "/>
    <n v="1839"/>
    <n v="223"/>
    <n v="171"/>
    <n v="35459"/>
    <n v="69988"/>
    <n v="114"/>
    <n v="6.2974139146620034E-2"/>
    <n v="216"/>
    <x v="1"/>
    <n v="2233"/>
  </r>
  <r>
    <s v="SP202"/>
    <s v="Twitter"/>
    <d v="2024-01-11T00:00:00"/>
    <s v="Story"/>
    <s v="Wrapped is here! Relive your top tracks "/>
    <n v="2340"/>
    <n v="141"/>
    <n v="206"/>
    <n v="24916"/>
    <n v="30582"/>
    <n v="157"/>
    <n v="0.10784235029699792"/>
    <n v="88"/>
    <x v="0"/>
    <n v="2687"/>
  </r>
  <r>
    <s v="SP202"/>
    <s v="Twitter"/>
    <d v="2024-01-11T00:00:00"/>
    <s v="Story"/>
    <s v="Wrapped is here! Relive your top tracks "/>
    <n v="2340"/>
    <n v="141"/>
    <n v="206"/>
    <n v="24916"/>
    <n v="30582"/>
    <n v="157"/>
    <n v="0.10784235029699792"/>
    <n v="88"/>
    <x v="1"/>
    <n v="2687"/>
  </r>
  <r>
    <s v="SP203"/>
    <s v="Instagram"/>
    <d v="2024-10-06T00:00:00"/>
    <s v="Text"/>
    <s v="Top trending tracks updated daily!"/>
    <n v="2080"/>
    <n v="389"/>
    <n v="92"/>
    <n v="30971"/>
    <n v="25347"/>
    <n v="111"/>
    <n v="8.2690258629040073E-2"/>
    <n v="167"/>
    <x v="2"/>
    <n v="2561"/>
  </r>
  <r>
    <s v="SP204"/>
    <s v="Twitter"/>
    <d v="2024-12-30T00:00:00"/>
    <s v="Text"/>
    <s v="Get into the groove with our new drop!"/>
    <n v="4214"/>
    <n v="286"/>
    <n v="127"/>
    <n v="47293"/>
    <n v="27184"/>
    <n v="232"/>
    <n v="9.7836889180216949E-2"/>
    <n v="115"/>
    <x v="1"/>
    <n v="4627"/>
  </r>
  <r>
    <s v="SP205"/>
    <s v="Twitter"/>
    <d v="2025-04-16T00:00:00"/>
    <s v="Text"/>
    <s v="Wrapped is here! Relive your top tracks "/>
    <n v="3792"/>
    <n v="315"/>
    <n v="120"/>
    <n v="54592"/>
    <n v="67886"/>
    <n v="117"/>
    <n v="7.7428927315357568E-2"/>
    <n v="184"/>
    <x v="0"/>
    <n v="4227"/>
  </r>
  <r>
    <s v="SP206"/>
    <s v="Twitter"/>
    <d v="2024-08-21T00:00:00"/>
    <s v="Story"/>
    <s v="Explore the latest podcasts now."/>
    <n v="3989"/>
    <n v="476"/>
    <n v="128"/>
    <n v="57569"/>
    <n v="40193"/>
    <n v="222"/>
    <n v="7.9782521843353188E-2"/>
    <n v="180"/>
    <x v="2"/>
    <n v="4593"/>
  </r>
  <r>
    <s v="SP206"/>
    <s v="Twitter"/>
    <d v="2024-08-21T00:00:00"/>
    <s v="Story"/>
    <s v="Explore the latest podcasts now."/>
    <n v="3989"/>
    <n v="476"/>
    <n v="128"/>
    <n v="57569"/>
    <n v="40193"/>
    <n v="222"/>
    <n v="7.9782521843353188E-2"/>
    <n v="180"/>
    <x v="3"/>
    <n v="4593"/>
  </r>
  <r>
    <s v="SP207"/>
    <s v="Twitter"/>
    <d v="2024-04-05T00:00:00"/>
    <s v="Story"/>
    <s v="Wrapped is here! Relive your top tracks "/>
    <n v="2857"/>
    <n v="443"/>
    <n v="359"/>
    <n v="51519"/>
    <n v="28256"/>
    <n v="155"/>
    <n v="7.1022341272152026E-2"/>
    <n v="198"/>
    <x v="0"/>
    <n v="3659"/>
  </r>
  <r>
    <s v="SP207"/>
    <s v="Twitter"/>
    <d v="2024-04-05T00:00:00"/>
    <s v="Story"/>
    <s v="Wrapped is here! Relive your top tracks "/>
    <n v="2857"/>
    <n v="443"/>
    <n v="359"/>
    <n v="51519"/>
    <n v="28256"/>
    <n v="155"/>
    <n v="7.1022341272152026E-2"/>
    <n v="198"/>
    <x v="1"/>
    <n v="3659"/>
  </r>
  <r>
    <s v="SP208"/>
    <s v="Twitter"/>
    <d v="2025-04-07T00:00:00"/>
    <s v="Text"/>
    <s v="From pop to podcasts, it's all here."/>
    <n v="1403"/>
    <n v="385"/>
    <n v="344"/>
    <n v="54223"/>
    <n v="72595"/>
    <n v="239"/>
    <n v="3.9319108127547353E-2"/>
    <n v="279"/>
    <x v="0"/>
    <n v="2132"/>
  </r>
  <r>
    <s v="SP209"/>
    <s v="Twitter"/>
    <d v="2024-07-19T00:00:00"/>
    <s v="Story"/>
    <s v="What's your vibe today? #SpotifyHits"/>
    <n v="3071"/>
    <n v="126"/>
    <n v="200"/>
    <n v="44013"/>
    <n v="44679"/>
    <n v="118"/>
    <n v="7.7181741758116915E-2"/>
    <n v="185"/>
    <x v="2"/>
    <n v="3397"/>
  </r>
  <r>
    <s v="SP209"/>
    <s v="Twitter"/>
    <d v="2024-07-19T00:00:00"/>
    <s v="Story"/>
    <s v="What's your vibe today? #SpotifyHits"/>
    <n v="3071"/>
    <n v="126"/>
    <n v="200"/>
    <n v="44013"/>
    <n v="44679"/>
    <n v="118"/>
    <n v="7.7181741758116915E-2"/>
    <n v="185"/>
    <x v="3"/>
    <n v="3397"/>
  </r>
  <r>
    <s v="SP210"/>
    <s v="Twitter"/>
    <d v="2025-05-03T00:00:00"/>
    <s v="Story"/>
    <s v="Top trending tracks updated daily!"/>
    <n v="1010"/>
    <n v="361"/>
    <n v="240"/>
    <n v="47229"/>
    <n v="72573"/>
    <n v="275"/>
    <n v="3.4110398272247981E-2"/>
    <n v="291"/>
    <x v="0"/>
    <n v="1611"/>
  </r>
  <r>
    <s v="SP210"/>
    <s v="Twitter"/>
    <d v="2025-05-03T00:00:00"/>
    <s v="Story"/>
    <s v="Top trending tracks updated daily!"/>
    <n v="1010"/>
    <n v="361"/>
    <n v="240"/>
    <n v="47229"/>
    <n v="72573"/>
    <n v="275"/>
    <n v="3.4110398272247981E-2"/>
    <n v="291"/>
    <x v="1"/>
    <n v="1611"/>
  </r>
  <r>
    <s v="SP211"/>
    <s v="Twitter"/>
    <d v="2024-04-14T00:00:00"/>
    <s v="Story"/>
    <s v="Discover fresh beats on Spotify!"/>
    <n v="1295"/>
    <n v="153"/>
    <n v="81"/>
    <n v="48350"/>
    <n v="61033"/>
    <n v="232"/>
    <n v="3.1623578076525334E-2"/>
    <n v="296"/>
    <x v="2"/>
    <n v="1529"/>
  </r>
  <r>
    <s v="SP211"/>
    <s v="Twitter"/>
    <d v="2024-04-14T00:00:00"/>
    <s v="Story"/>
    <s v="Discover fresh beats on Spotify!"/>
    <n v="1295"/>
    <n v="153"/>
    <n v="81"/>
    <n v="48350"/>
    <n v="61033"/>
    <n v="232"/>
    <n v="3.1623578076525334E-2"/>
    <n v="296"/>
    <x v="3"/>
    <n v="1529"/>
  </r>
  <r>
    <s v="SP212"/>
    <s v="Twitter"/>
    <d v="2025-06-19T00:00:00"/>
    <s v="Story"/>
    <s v="What's your vibe today? #SpotifyHits"/>
    <n v="1433"/>
    <n v="452"/>
    <n v="305"/>
    <n v="54541"/>
    <n v="63700"/>
    <n v="296"/>
    <n v="4.0153279184466734E-2"/>
    <n v="275"/>
    <x v="2"/>
    <n v="2190"/>
  </r>
  <r>
    <s v="SP212"/>
    <s v="Twitter"/>
    <d v="2025-06-19T00:00:00"/>
    <s v="Story"/>
    <s v="What's your vibe today? #SpotifyHits"/>
    <n v="1433"/>
    <n v="452"/>
    <n v="305"/>
    <n v="54541"/>
    <n v="63700"/>
    <n v="296"/>
    <n v="4.0153279184466734E-2"/>
    <n v="275"/>
    <x v="3"/>
    <n v="2190"/>
  </r>
  <r>
    <s v="SP213"/>
    <s v="Instagram"/>
    <d v="2025-06-24T00:00:00"/>
    <s v="Story"/>
    <s v="Get into the groove with our new drop!"/>
    <n v="4902"/>
    <n v="422"/>
    <n v="376"/>
    <n v="31674"/>
    <n v="53225"/>
    <n v="147"/>
    <n v="0.17995832544042431"/>
    <n v="12"/>
    <x v="1"/>
    <n v="5700"/>
  </r>
  <r>
    <s v="SP214"/>
    <s v="Twitter"/>
    <d v="2024-10-09T00:00:00"/>
    <s v="Text"/>
    <s v="Wrapped is here! Relive your top tracks "/>
    <n v="2659"/>
    <n v="167"/>
    <n v="73"/>
    <n v="23090"/>
    <n v="25872"/>
    <n v="293"/>
    <n v="0.12555218709398008"/>
    <n v="60"/>
    <x v="0"/>
    <n v="2899"/>
  </r>
  <r>
    <s v="SP215"/>
    <s v="YouTube"/>
    <d v="2025-01-15T00:00:00"/>
    <s v="Text"/>
    <s v="Your weekend playlist is waiting."/>
    <n v="2599"/>
    <n v="324"/>
    <n v="182"/>
    <n v="37525"/>
    <n v="37216"/>
    <n v="186"/>
    <n v="8.2744836775483013E-2"/>
    <n v="166"/>
    <x v="2"/>
    <n v="3105"/>
  </r>
  <r>
    <s v="SP215"/>
    <s v="YouTube"/>
    <d v="2025-01-15T00:00:00"/>
    <s v="Text"/>
    <s v="Your weekend playlist is waiting."/>
    <n v="2599"/>
    <n v="324"/>
    <n v="182"/>
    <n v="37525"/>
    <n v="37216"/>
    <n v="186"/>
    <n v="8.2744836775483013E-2"/>
    <n v="166"/>
    <x v="4"/>
    <n v="3105"/>
  </r>
  <r>
    <s v="SP216"/>
    <s v="Twitter"/>
    <d v="2025-01-12T00:00:00"/>
    <s v="Text"/>
    <s v="Music that moves you-only on Spotify."/>
    <n v="1765"/>
    <n v="285"/>
    <n v="100"/>
    <n v="41313"/>
    <n v="56575"/>
    <n v="174"/>
    <n v="5.2041730205988429E-2"/>
    <n v="248"/>
    <x v="0"/>
    <n v="2150"/>
  </r>
  <r>
    <s v="SP217"/>
    <s v="Instagram"/>
    <d v="2025-05-31T00:00:00"/>
    <s v="Text"/>
    <s v="What's your vibe today? #SpotifyHits"/>
    <n v="2169"/>
    <n v="240"/>
    <n v="57"/>
    <n v="26109"/>
    <n v="46667"/>
    <n v="133"/>
    <n v="9.4450189589796618E-2"/>
    <n v="122"/>
    <x v="0"/>
    <n v="2466"/>
  </r>
  <r>
    <s v="SP217"/>
    <s v="Instagram"/>
    <d v="2025-05-31T00:00:00"/>
    <s v="Text"/>
    <s v="What's your vibe today? #SpotifyHits"/>
    <n v="2169"/>
    <n v="240"/>
    <n v="57"/>
    <n v="26109"/>
    <n v="46667"/>
    <n v="133"/>
    <n v="9.4450189589796618E-2"/>
    <n v="122"/>
    <x v="1"/>
    <n v="2466"/>
  </r>
  <r>
    <s v="SP218"/>
    <s v="Twitter"/>
    <d v="2024-10-14T00:00:00"/>
    <s v="Story"/>
    <s v="Explore the latest podcasts now."/>
    <n v="4303"/>
    <n v="306"/>
    <n v="302"/>
    <n v="39575"/>
    <n v="33762"/>
    <n v="265"/>
    <n v="0.12409349336702463"/>
    <n v="61"/>
    <x v="2"/>
    <n v="4911"/>
  </r>
  <r>
    <s v="SP218"/>
    <s v="Twitter"/>
    <d v="2024-10-14T00:00:00"/>
    <s v="Story"/>
    <s v="Explore the latest podcasts now."/>
    <n v="4303"/>
    <n v="306"/>
    <n v="302"/>
    <n v="39575"/>
    <n v="33762"/>
    <n v="265"/>
    <n v="0.12409349336702463"/>
    <n v="61"/>
    <x v="3"/>
    <n v="4911"/>
  </r>
  <r>
    <s v="SP219"/>
    <s v="Twitter"/>
    <d v="2024-02-10T00:00:00"/>
    <s v="Text"/>
    <s v="From pop to podcasts, it's all here."/>
    <n v="1519"/>
    <n v="456"/>
    <n v="379"/>
    <n v="51611"/>
    <n v="45880"/>
    <n v="176"/>
    <n v="4.5610431884675749E-2"/>
    <n v="264"/>
    <x v="0"/>
    <n v="2354"/>
  </r>
  <r>
    <s v="SP220"/>
    <s v="YouTube"/>
    <d v="2024-12-10T00:00:00"/>
    <s v="Text"/>
    <s v="What's your vibe today? #SpotifyHits"/>
    <n v="2569"/>
    <n v="140"/>
    <n v="375"/>
    <n v="38372"/>
    <n v="22102"/>
    <n v="255"/>
    <n v="8.0371103929948923E-2"/>
    <n v="177"/>
    <x v="2"/>
    <n v="3084"/>
  </r>
  <r>
    <s v="SP220"/>
    <s v="YouTube"/>
    <d v="2024-12-10T00:00:00"/>
    <s v="Text"/>
    <s v="What's your vibe today? #SpotifyHits"/>
    <n v="2569"/>
    <n v="140"/>
    <n v="375"/>
    <n v="38372"/>
    <n v="22102"/>
    <n v="255"/>
    <n v="8.0371103929948923E-2"/>
    <n v="177"/>
    <x v="4"/>
    <n v="3084"/>
  </r>
  <r>
    <s v="SP221"/>
    <s v="Twitter"/>
    <d v="2025-05-09T00:00:00"/>
    <s v="Story"/>
    <s v="Music that moves you-only on Spotify."/>
    <n v="2778"/>
    <n v="241"/>
    <n v="317"/>
    <n v="26247"/>
    <n v="20677"/>
    <n v="282"/>
    <n v="0.1271002400274317"/>
    <n v="59"/>
    <x v="3"/>
    <n v="3336"/>
  </r>
  <r>
    <s v="SP221"/>
    <s v="Twitter"/>
    <d v="2025-05-09T00:00:00"/>
    <s v="Story"/>
    <s v="Music that moves you-only on Spotify."/>
    <n v="2778"/>
    <n v="241"/>
    <n v="317"/>
    <n v="26247"/>
    <n v="20677"/>
    <n v="282"/>
    <n v="0.1271002400274317"/>
    <n v="59"/>
    <x v="1"/>
    <n v="3336"/>
  </r>
  <r>
    <s v="SP222"/>
    <s v="Twitter"/>
    <d v="2025-06-21T00:00:00"/>
    <s v="Text"/>
    <s v="Explore the latest podcasts now."/>
    <n v="3611"/>
    <n v="127"/>
    <n v="139"/>
    <n v="44768"/>
    <n v="29435"/>
    <n v="178"/>
    <n v="8.6602037169406718E-2"/>
    <n v="148"/>
    <x v="1"/>
    <n v="3877"/>
  </r>
  <r>
    <s v="SP223"/>
    <s v="Twitter"/>
    <d v="2024-06-19T00:00:00"/>
    <s v="Text"/>
    <s v="What's your vibe today? #SpotifyHits"/>
    <n v="1224"/>
    <n v="168"/>
    <n v="199"/>
    <n v="54232"/>
    <n v="52844"/>
    <n v="271"/>
    <n v="2.9336922849977874E-2"/>
    <n v="297"/>
    <x v="0"/>
    <n v="1591"/>
  </r>
  <r>
    <s v="SP224"/>
    <s v="Twitter"/>
    <d v="2024-12-10T00:00:00"/>
    <s v="Text"/>
    <s v="From pop to podcasts, it's all here."/>
    <n v="4673"/>
    <n v="270"/>
    <n v="93"/>
    <n v="45260"/>
    <n v="57513"/>
    <n v="103"/>
    <n v="0.11126822801590809"/>
    <n v="78"/>
    <x v="1"/>
    <n v="5036"/>
  </r>
  <r>
    <s v="SP225"/>
    <s v="YouTube"/>
    <d v="2024-02-01T00:00:00"/>
    <s v="Text"/>
    <s v="Wrapped is here! Relive your top tracks "/>
    <n v="1432"/>
    <n v="437"/>
    <n v="267"/>
    <n v="40634"/>
    <n v="54511"/>
    <n v="197"/>
    <n v="5.2566815966924252E-2"/>
    <n v="244"/>
    <x v="2"/>
    <n v="2136"/>
  </r>
  <r>
    <s v="SP225"/>
    <s v="YouTube"/>
    <d v="2024-02-01T00:00:00"/>
    <s v="Text"/>
    <s v="Wrapped is here! Relive your top tracks "/>
    <n v="1432"/>
    <n v="437"/>
    <n v="267"/>
    <n v="40634"/>
    <n v="54511"/>
    <n v="197"/>
    <n v="5.2566815966924252E-2"/>
    <n v="244"/>
    <x v="4"/>
    <n v="2136"/>
  </r>
  <r>
    <s v="SP226"/>
    <s v="Twitter"/>
    <d v="2024-01-17T00:00:00"/>
    <s v="Story"/>
    <s v="New music just dropped. Hit play!"/>
    <n v="2174"/>
    <n v="499"/>
    <n v="212"/>
    <n v="54938"/>
    <n v="27190"/>
    <n v="265"/>
    <n v="5.2513742764570971E-2"/>
    <n v="245"/>
    <x v="3"/>
    <n v="2885"/>
  </r>
  <r>
    <s v="SP226"/>
    <s v="Twitter"/>
    <d v="2024-01-17T00:00:00"/>
    <s v="Story"/>
    <s v="New music just dropped. Hit play!"/>
    <n v="2174"/>
    <n v="499"/>
    <n v="212"/>
    <n v="54938"/>
    <n v="27190"/>
    <n v="265"/>
    <n v="5.2513742764570971E-2"/>
    <n v="245"/>
    <x v="1"/>
    <n v="2885"/>
  </r>
  <r>
    <s v="SP227"/>
    <s v="YouTube"/>
    <d v="2025-03-22T00:00:00"/>
    <s v="Text"/>
    <s v="Music that moves you-only on Spotify."/>
    <n v="4308"/>
    <n v="171"/>
    <n v="106"/>
    <n v="36955"/>
    <n v="23949"/>
    <n v="294"/>
    <n v="0.12406981463942633"/>
    <n v="62"/>
    <x v="2"/>
    <n v="4585"/>
  </r>
  <r>
    <s v="SP227"/>
    <s v="YouTube"/>
    <d v="2025-03-22T00:00:00"/>
    <s v="Text"/>
    <s v="Music that moves you-only on Spotify."/>
    <n v="4308"/>
    <n v="171"/>
    <n v="106"/>
    <n v="36955"/>
    <n v="23949"/>
    <n v="294"/>
    <n v="0.12406981463942633"/>
    <n v="62"/>
    <x v="4"/>
    <n v="4585"/>
  </r>
  <r>
    <s v="SP228"/>
    <s v="YouTube"/>
    <d v="2024-05-30T00:00:00"/>
    <s v="Reel"/>
    <s v="What's your vibe today? #SpotifyHits"/>
    <n v="1060"/>
    <n v="442"/>
    <n v="319"/>
    <n v="57194"/>
    <n v="24258"/>
    <n v="101"/>
    <n v="3.1839004091338254E-2"/>
    <n v="295"/>
    <x v="2"/>
    <n v="1821"/>
  </r>
  <r>
    <s v="SP228"/>
    <s v="YouTube"/>
    <d v="2024-05-30T00:00:00"/>
    <s v="Reel"/>
    <s v="What's your vibe today? #SpotifyHits"/>
    <n v="1060"/>
    <n v="442"/>
    <n v="319"/>
    <n v="57194"/>
    <n v="24258"/>
    <n v="101"/>
    <n v="3.1839004091338254E-2"/>
    <n v="295"/>
    <x v="0"/>
    <n v="1821"/>
  </r>
  <r>
    <s v="SP229"/>
    <s v="YouTube"/>
    <d v="2024-02-24T00:00:00"/>
    <s v="Text"/>
    <s v="Music that moves you-only on Spotify."/>
    <n v="4653"/>
    <n v="226"/>
    <n v="349"/>
    <n v="56876"/>
    <n v="28452"/>
    <n v="257"/>
    <n v="9.191926295801392E-2"/>
    <n v="136"/>
    <x v="2"/>
    <n v="5228"/>
  </r>
  <r>
    <s v="SP229"/>
    <s v="YouTube"/>
    <d v="2024-02-24T00:00:00"/>
    <s v="Text"/>
    <s v="Music that moves you-only on Spotify."/>
    <n v="4653"/>
    <n v="226"/>
    <n v="349"/>
    <n v="56876"/>
    <n v="28452"/>
    <n v="257"/>
    <n v="9.191926295801392E-2"/>
    <n v="136"/>
    <x v="4"/>
    <n v="5228"/>
  </r>
  <r>
    <s v="SP230"/>
    <s v="YouTube"/>
    <d v="2025-05-14T00:00:00"/>
    <s v="Text"/>
    <s v="Discover fresh beats on Spotify!"/>
    <n v="1701"/>
    <n v="272"/>
    <n v="385"/>
    <n v="47496"/>
    <n v="40832"/>
    <n v="246"/>
    <n v="4.9646286003031836E-2"/>
    <n v="257"/>
    <x v="2"/>
    <n v="2358"/>
  </r>
  <r>
    <s v="SP230"/>
    <s v="YouTube"/>
    <d v="2025-05-14T00:00:00"/>
    <s v="Text"/>
    <s v="Discover fresh beats on Spotify!"/>
    <n v="1701"/>
    <n v="272"/>
    <n v="385"/>
    <n v="47496"/>
    <n v="40832"/>
    <n v="246"/>
    <n v="4.9646286003031836E-2"/>
    <n v="257"/>
    <x v="4"/>
    <n v="2358"/>
  </r>
  <r>
    <s v="SP231"/>
    <s v="Instagram"/>
    <d v="2024-03-28T00:00:00"/>
    <s v="Text"/>
    <s v="What's your vibe today? #SpotifyHits"/>
    <n v="1673"/>
    <n v="280"/>
    <n v="67"/>
    <n v="29847"/>
    <n v="48016"/>
    <n v="213"/>
    <n v="6.76784936509532E-2"/>
    <n v="207"/>
    <x v="0"/>
    <n v="2020"/>
  </r>
  <r>
    <s v="SP231"/>
    <s v="Instagram"/>
    <d v="2024-03-28T00:00:00"/>
    <s v="Text"/>
    <s v="What's your vibe today? #SpotifyHits"/>
    <n v="1673"/>
    <n v="280"/>
    <n v="67"/>
    <n v="29847"/>
    <n v="48016"/>
    <n v="213"/>
    <n v="6.76784936509532E-2"/>
    <n v="207"/>
    <x v="1"/>
    <n v="2020"/>
  </r>
  <r>
    <s v="SP232"/>
    <s v="YouTube"/>
    <d v="2025-03-07T00:00:00"/>
    <s v="Text"/>
    <s v="Top trending tracks updated daily!"/>
    <n v="4310"/>
    <n v="284"/>
    <n v="306"/>
    <n v="44606"/>
    <n v="42604"/>
    <n v="290"/>
    <n v="0.10985069273191947"/>
    <n v="84"/>
    <x v="2"/>
    <n v="4900"/>
  </r>
  <r>
    <s v="SP232"/>
    <s v="YouTube"/>
    <d v="2025-03-07T00:00:00"/>
    <s v="Text"/>
    <s v="Top trending tracks updated daily!"/>
    <n v="4310"/>
    <n v="284"/>
    <n v="306"/>
    <n v="44606"/>
    <n v="42604"/>
    <n v="290"/>
    <n v="0.10985069273191947"/>
    <n v="84"/>
    <x v="4"/>
    <n v="4900"/>
  </r>
  <r>
    <s v="SP233"/>
    <s v="Twitter"/>
    <d v="2024-10-20T00:00:00"/>
    <s v="Text"/>
    <s v="From pop to podcasts, it's all here."/>
    <n v="2752"/>
    <n v="309"/>
    <n v="91"/>
    <n v="39038"/>
    <n v="28095"/>
    <n v="277"/>
    <n v="8.0741841282852611E-2"/>
    <n v="175"/>
    <x v="1"/>
    <n v="3152"/>
  </r>
  <r>
    <s v="SP234"/>
    <s v="Twitter"/>
    <d v="2024-02-02T00:00:00"/>
    <s v="Text"/>
    <s v="From pop to podcasts, it's all here."/>
    <n v="3818"/>
    <n v="115"/>
    <n v="286"/>
    <n v="25127"/>
    <n v="22277"/>
    <n v="263"/>
    <n v="0.16790703227603773"/>
    <n v="18"/>
    <x v="1"/>
    <n v="4219"/>
  </r>
  <r>
    <s v="SP235"/>
    <s v="YouTube"/>
    <d v="2024-09-07T00:00:00"/>
    <s v="Text"/>
    <s v="Your weekend playlist is waiting."/>
    <n v="2101"/>
    <n v="411"/>
    <n v="190"/>
    <n v="41791"/>
    <n v="57090"/>
    <n v="172"/>
    <n v="6.4655069273288512E-2"/>
    <n v="212"/>
    <x v="2"/>
    <n v="2702"/>
  </r>
  <r>
    <s v="SP235"/>
    <s v="YouTube"/>
    <d v="2024-09-07T00:00:00"/>
    <s v="Text"/>
    <s v="Your weekend playlist is waiting."/>
    <n v="2101"/>
    <n v="411"/>
    <n v="190"/>
    <n v="41791"/>
    <n v="57090"/>
    <n v="172"/>
    <n v="6.4655069273288512E-2"/>
    <n v="212"/>
    <x v="4"/>
    <n v="2702"/>
  </r>
  <r>
    <s v="SP236"/>
    <s v="Instagram"/>
    <d v="2024-12-20T00:00:00"/>
    <s v="Text"/>
    <s v="Discover fresh beats on Spotify!"/>
    <n v="2519"/>
    <n v="202"/>
    <n v="239"/>
    <n v="36245"/>
    <n v="48606"/>
    <n v="145"/>
    <n v="8.1666436749896543E-2"/>
    <n v="170"/>
    <x v="2"/>
    <n v="2960"/>
  </r>
  <r>
    <s v="SP237"/>
    <s v="YouTube"/>
    <d v="2024-01-14T00:00:00"/>
    <s v="Text"/>
    <s v="What's your vibe today? #SpotifyHits"/>
    <n v="4502"/>
    <n v="238"/>
    <n v="386"/>
    <n v="39198"/>
    <n v="25050"/>
    <n v="297"/>
    <n v="0.13077197816215114"/>
    <n v="55"/>
    <x v="2"/>
    <n v="5126"/>
  </r>
  <r>
    <s v="SP237"/>
    <s v="YouTube"/>
    <d v="2024-01-14T00:00:00"/>
    <s v="Text"/>
    <s v="What's your vibe today? #SpotifyHits"/>
    <n v="4502"/>
    <n v="238"/>
    <n v="386"/>
    <n v="39198"/>
    <n v="25050"/>
    <n v="297"/>
    <n v="0.13077197816215114"/>
    <n v="55"/>
    <x v="4"/>
    <n v="5126"/>
  </r>
  <r>
    <s v="SP238"/>
    <s v="Instagram"/>
    <d v="2025-06-15T00:00:00"/>
    <s v="Text"/>
    <s v="Explore the latest podcasts now."/>
    <n v="2478"/>
    <n v="427"/>
    <n v="242"/>
    <n v="59272"/>
    <n v="37833"/>
    <n v="214"/>
    <n v="5.3094209744904843E-2"/>
    <n v="242"/>
    <x v="0"/>
    <n v="3147"/>
  </r>
  <r>
    <s v="SP238"/>
    <s v="Instagram"/>
    <d v="2025-06-15T00:00:00"/>
    <s v="Text"/>
    <s v="Explore the latest podcasts now."/>
    <n v="2478"/>
    <n v="427"/>
    <n v="242"/>
    <n v="59272"/>
    <n v="37833"/>
    <n v="214"/>
    <n v="5.3094209744904843E-2"/>
    <n v="242"/>
    <x v="1"/>
    <n v="3147"/>
  </r>
  <r>
    <s v="SP239"/>
    <s v="Twitter"/>
    <d v="2024-12-13T00:00:00"/>
    <s v="Story"/>
    <s v="New music just dropped. Hit play!"/>
    <n v="4984"/>
    <n v="300"/>
    <n v="338"/>
    <n v="32900"/>
    <n v="31691"/>
    <n v="160"/>
    <n v="0.17088145896656534"/>
    <n v="17"/>
    <x v="3"/>
    <n v="5622"/>
  </r>
  <r>
    <s v="SP239"/>
    <s v="Twitter"/>
    <d v="2024-12-13T00:00:00"/>
    <s v="Story"/>
    <s v="New music just dropped. Hit play!"/>
    <n v="4984"/>
    <n v="300"/>
    <n v="338"/>
    <n v="32900"/>
    <n v="31691"/>
    <n v="160"/>
    <n v="0.17088145896656534"/>
    <n v="17"/>
    <x v="1"/>
    <n v="5622"/>
  </r>
  <r>
    <s v="SP240"/>
    <s v="YouTube"/>
    <d v="2024-08-29T00:00:00"/>
    <s v="Text"/>
    <s v="Wrapped is here! Relive your top tracks "/>
    <n v="4774"/>
    <n v="389"/>
    <n v="358"/>
    <n v="52346"/>
    <n v="30518"/>
    <n v="277"/>
    <n v="0.10547128720437092"/>
    <n v="97"/>
    <x v="2"/>
    <n v="5521"/>
  </r>
  <r>
    <s v="SP240"/>
    <s v="YouTube"/>
    <d v="2024-08-29T00:00:00"/>
    <s v="Text"/>
    <s v="Wrapped is here! Relive your top tracks "/>
    <n v="4774"/>
    <n v="389"/>
    <n v="358"/>
    <n v="52346"/>
    <n v="30518"/>
    <n v="277"/>
    <n v="0.10547128720437092"/>
    <n v="97"/>
    <x v="4"/>
    <n v="5521"/>
  </r>
  <r>
    <s v="SP241"/>
    <s v="Twitter"/>
    <d v="2024-09-15T00:00:00"/>
    <s v="Text"/>
    <s v="Get into the groove with our new drop!"/>
    <n v="2145"/>
    <n v="340"/>
    <n v="85"/>
    <n v="53323"/>
    <n v="49938"/>
    <n v="104"/>
    <n v="4.819683813738912E-2"/>
    <n v="258"/>
    <x v="1"/>
    <n v="2570"/>
  </r>
  <r>
    <s v="SP242"/>
    <s v="Twitter"/>
    <d v="2025-04-12T00:00:00"/>
    <s v="Story"/>
    <s v="From pop to podcasts, it's all here."/>
    <n v="4315"/>
    <n v="208"/>
    <n v="273"/>
    <n v="35780"/>
    <n v="44349"/>
    <n v="133"/>
    <n v="0.13404136389044158"/>
    <n v="52"/>
    <x v="2"/>
    <n v="4796"/>
  </r>
  <r>
    <s v="SP242"/>
    <s v="Twitter"/>
    <d v="2025-04-12T00:00:00"/>
    <s v="Story"/>
    <s v="From pop to podcasts, it's all here."/>
    <n v="4315"/>
    <n v="208"/>
    <n v="273"/>
    <n v="35780"/>
    <n v="44349"/>
    <n v="133"/>
    <n v="0.13404136389044158"/>
    <n v="52"/>
    <x v="3"/>
    <n v="4796"/>
  </r>
  <r>
    <s v="SP243"/>
    <s v="Twitter"/>
    <d v="2024-12-10T00:00:00"/>
    <s v="Story"/>
    <s v="Wrapped is here! Relive your top tracks "/>
    <n v="2267"/>
    <n v="230"/>
    <n v="243"/>
    <n v="27904"/>
    <n v="69771"/>
    <n v="255"/>
    <n v="9.8193807339449546E-2"/>
    <n v="112"/>
    <x v="2"/>
    <n v="2740"/>
  </r>
  <r>
    <s v="SP243"/>
    <s v="Twitter"/>
    <d v="2024-12-10T00:00:00"/>
    <s v="Story"/>
    <s v="Wrapped is here! Relive your top tracks "/>
    <n v="2267"/>
    <n v="230"/>
    <n v="243"/>
    <n v="27904"/>
    <n v="69771"/>
    <n v="255"/>
    <n v="9.8193807339449546E-2"/>
    <n v="112"/>
    <x v="3"/>
    <n v="2740"/>
  </r>
  <r>
    <s v="SP244"/>
    <s v="YouTube"/>
    <d v="2025-06-08T00:00:00"/>
    <s v="Text"/>
    <s v="Music that moves you-only on Spotify."/>
    <n v="4375"/>
    <n v="303"/>
    <n v="294"/>
    <n v="57468"/>
    <n v="53397"/>
    <n v="159"/>
    <n v="8.6517714206166912E-2"/>
    <n v="150"/>
    <x v="2"/>
    <n v="4972"/>
  </r>
  <r>
    <s v="SP244"/>
    <s v="YouTube"/>
    <d v="2025-06-08T00:00:00"/>
    <s v="Text"/>
    <s v="Music that moves you-only on Spotify."/>
    <n v="4375"/>
    <n v="303"/>
    <n v="294"/>
    <n v="57468"/>
    <n v="53397"/>
    <n v="159"/>
    <n v="8.6517714206166912E-2"/>
    <n v="150"/>
    <x v="4"/>
    <n v="4972"/>
  </r>
  <r>
    <s v="SP245"/>
    <s v="Twitter"/>
    <d v="2025-01-09T00:00:00"/>
    <s v="Story"/>
    <s v="Your weekend playlist is waiting."/>
    <n v="3817"/>
    <n v="284"/>
    <n v="204"/>
    <n v="46434"/>
    <n v="53396"/>
    <n v="104"/>
    <n v="9.2712236723090841E-2"/>
    <n v="130"/>
    <x v="3"/>
    <n v="4305"/>
  </r>
  <r>
    <s v="SP245"/>
    <s v="Twitter"/>
    <d v="2025-01-09T00:00:00"/>
    <s v="Story"/>
    <s v="Your weekend playlist is waiting."/>
    <n v="3817"/>
    <n v="284"/>
    <n v="204"/>
    <n v="46434"/>
    <n v="53396"/>
    <n v="104"/>
    <n v="9.2712236723090841E-2"/>
    <n v="130"/>
    <x v="1"/>
    <n v="4305"/>
  </r>
  <r>
    <s v="SP246"/>
    <s v="Twitter"/>
    <d v="2024-07-08T00:00:00"/>
    <s v="Story"/>
    <s v="Top trending tracks updated daily!"/>
    <n v="2981"/>
    <n v="258"/>
    <n v="168"/>
    <n v="20677"/>
    <n v="68290"/>
    <n v="130"/>
    <n v="0.16477245248343569"/>
    <n v="22"/>
    <x v="0"/>
    <n v="3407"/>
  </r>
  <r>
    <s v="SP246"/>
    <s v="Twitter"/>
    <d v="2024-07-08T00:00:00"/>
    <s v="Story"/>
    <s v="Top trending tracks updated daily!"/>
    <n v="2981"/>
    <n v="258"/>
    <n v="168"/>
    <n v="20677"/>
    <n v="68290"/>
    <n v="130"/>
    <n v="0.16477245248343569"/>
    <n v="22"/>
    <x v="1"/>
    <n v="3407"/>
  </r>
  <r>
    <s v="SP247"/>
    <s v="Twitter"/>
    <d v="2024-09-16T00:00:00"/>
    <s v="Story"/>
    <s v="Your weekend playlist is waiting."/>
    <n v="3300"/>
    <n v="354"/>
    <n v="397"/>
    <n v="56773"/>
    <n v="72110"/>
    <n v="163"/>
    <n v="7.1354340971940891E-2"/>
    <n v="197"/>
    <x v="2"/>
    <n v="4051"/>
  </r>
  <r>
    <s v="SP247"/>
    <s v="Twitter"/>
    <d v="2024-09-16T00:00:00"/>
    <s v="Story"/>
    <s v="Your weekend playlist is waiting."/>
    <n v="3300"/>
    <n v="354"/>
    <n v="397"/>
    <n v="56773"/>
    <n v="72110"/>
    <n v="163"/>
    <n v="7.1354340971940891E-2"/>
    <n v="197"/>
    <x v="3"/>
    <n v="4051"/>
  </r>
  <r>
    <s v="SP248"/>
    <s v="YouTube"/>
    <d v="2024-06-14T00:00:00"/>
    <s v="Reel"/>
    <s v="Wrapped is here! Relive your top tracks "/>
    <n v="4722"/>
    <n v="310"/>
    <n v="344"/>
    <n v="27911"/>
    <n v="19000"/>
    <n v="225"/>
    <n v="0.19261223173659131"/>
    <n v="8"/>
    <x v="2"/>
    <n v="5376"/>
  </r>
  <r>
    <s v="SP248"/>
    <s v="YouTube"/>
    <d v="2024-06-14T00:00:00"/>
    <s v="Reel"/>
    <s v="Wrapped is here! Relive your top tracks "/>
    <n v="4722"/>
    <n v="310"/>
    <n v="344"/>
    <n v="27911"/>
    <n v="19000"/>
    <n v="225"/>
    <n v="0.19261223173659131"/>
    <n v="8"/>
    <x v="0"/>
    <n v="5376"/>
  </r>
  <r>
    <s v="SP249"/>
    <s v="Instagram"/>
    <d v="2024-03-06T00:00:00"/>
    <s v="Text"/>
    <s v="What's your vibe today? #SpotifyHits"/>
    <n v="3529"/>
    <n v="263"/>
    <n v="107"/>
    <n v="26570"/>
    <n v="19367"/>
    <n v="96"/>
    <n v="0.14674444862627023"/>
    <n v="39"/>
    <x v="2"/>
    <n v="3899"/>
  </r>
  <r>
    <s v="SP250"/>
    <s v="Twitter"/>
    <d v="2025-05-15T00:00:00"/>
    <s v="Text"/>
    <s v="Your weekend playlist is waiting."/>
    <n v="4782"/>
    <n v="210"/>
    <n v="311"/>
    <n v="29793"/>
    <n v="37543"/>
    <n v="145"/>
    <n v="0.17799483100057059"/>
    <n v="13"/>
    <x v="1"/>
    <n v="5303"/>
  </r>
  <r>
    <s v="SP251"/>
    <s v="Twitter"/>
    <d v="2024-07-07T00:00:00"/>
    <s v="Text"/>
    <s v="What's your vibe today? #SpotifyHits"/>
    <n v="1848"/>
    <n v="417"/>
    <n v="294"/>
    <n v="57819"/>
    <n v="19798"/>
    <n v="262"/>
    <n v="4.4258807658382193E-2"/>
    <n v="269"/>
    <x v="0"/>
    <n v="2559"/>
  </r>
  <r>
    <s v="SP252"/>
    <s v="YouTube"/>
    <d v="2024-10-26T00:00:00"/>
    <s v="Text"/>
    <s v="New music just dropped. Hit play!"/>
    <n v="4676"/>
    <n v="211"/>
    <n v="55"/>
    <n v="45917"/>
    <n v="73503"/>
    <n v="248"/>
    <n v="0.10762898272970794"/>
    <n v="90"/>
    <x v="2"/>
    <n v="4942"/>
  </r>
  <r>
    <s v="SP252"/>
    <s v="YouTube"/>
    <d v="2024-10-26T00:00:00"/>
    <s v="Text"/>
    <s v="New music just dropped. Hit play!"/>
    <n v="4676"/>
    <n v="211"/>
    <n v="55"/>
    <n v="45917"/>
    <n v="73503"/>
    <n v="248"/>
    <n v="0.10762898272970794"/>
    <n v="90"/>
    <x v="4"/>
    <n v="4942"/>
  </r>
  <r>
    <s v="SP253"/>
    <s v="YouTube"/>
    <d v="2024-08-08T00:00:00"/>
    <s v="Text"/>
    <s v="From pop to podcasts, it's all here."/>
    <n v="1994"/>
    <n v="197"/>
    <n v="290"/>
    <n v="49500"/>
    <n v="23343"/>
    <n v="160"/>
    <n v="5.0121212121212122E-2"/>
    <n v="254"/>
    <x v="2"/>
    <n v="2481"/>
  </r>
  <r>
    <s v="SP253"/>
    <s v="YouTube"/>
    <d v="2024-08-08T00:00:00"/>
    <s v="Text"/>
    <s v="From pop to podcasts, it's all here."/>
    <n v="1994"/>
    <n v="197"/>
    <n v="290"/>
    <n v="49500"/>
    <n v="23343"/>
    <n v="160"/>
    <n v="5.0121212121212122E-2"/>
    <n v="254"/>
    <x v="4"/>
    <n v="2481"/>
  </r>
  <r>
    <s v="SP254"/>
    <s v="Twitter"/>
    <d v="2025-02-03T00:00:00"/>
    <s v="Text"/>
    <s v="What's your vibe today? #SpotifyHits"/>
    <n v="4995"/>
    <n v="231"/>
    <n v="94"/>
    <n v="34431"/>
    <n v="32560"/>
    <n v="262"/>
    <n v="0.15451192239551567"/>
    <n v="34"/>
    <x v="1"/>
    <n v="5320"/>
  </r>
  <r>
    <s v="SP255"/>
    <s v="Twitter"/>
    <d v="2024-04-03T00:00:00"/>
    <s v="Story"/>
    <s v="Top trending tracks updated daily!"/>
    <n v="2291"/>
    <n v="146"/>
    <n v="399"/>
    <n v="49319"/>
    <n v="28056"/>
    <n v="90"/>
    <n v="5.7503193495407452E-2"/>
    <n v="232"/>
    <x v="2"/>
    <n v="2836"/>
  </r>
  <r>
    <s v="SP255"/>
    <s v="Twitter"/>
    <d v="2024-04-03T00:00:00"/>
    <s v="Story"/>
    <s v="Top trending tracks updated daily!"/>
    <n v="2291"/>
    <n v="146"/>
    <n v="399"/>
    <n v="49319"/>
    <n v="28056"/>
    <n v="90"/>
    <n v="5.7503193495407452E-2"/>
    <n v="232"/>
    <x v="3"/>
    <n v="2836"/>
  </r>
  <r>
    <s v="SP256"/>
    <s v="Twitter"/>
    <d v="2024-07-08T00:00:00"/>
    <s v="Story"/>
    <s v="Wrapped is here! Relive your top tracks "/>
    <n v="2304"/>
    <n v="289"/>
    <n v="161"/>
    <n v="52645"/>
    <n v="66262"/>
    <n v="146"/>
    <n v="5.2312660271630736E-2"/>
    <n v="246"/>
    <x v="3"/>
    <n v="2754"/>
  </r>
  <r>
    <s v="SP256"/>
    <s v="Twitter"/>
    <d v="2024-07-08T00:00:00"/>
    <s v="Story"/>
    <s v="Wrapped is here! Relive your top tracks "/>
    <n v="2304"/>
    <n v="289"/>
    <n v="161"/>
    <n v="52645"/>
    <n v="66262"/>
    <n v="146"/>
    <n v="5.2312660271630736E-2"/>
    <n v="246"/>
    <x v="1"/>
    <n v="2754"/>
  </r>
  <r>
    <s v="SP257"/>
    <s v="Twitter"/>
    <d v="2024-06-08T00:00:00"/>
    <s v="Story"/>
    <s v="Top trending tracks updated daily!"/>
    <n v="3413"/>
    <n v="326"/>
    <n v="86"/>
    <n v="44680"/>
    <n v="52719"/>
    <n v="272"/>
    <n v="8.5608773500447627E-2"/>
    <n v="153"/>
    <x v="2"/>
    <n v="3825"/>
  </r>
  <r>
    <s v="SP257"/>
    <s v="Twitter"/>
    <d v="2024-06-08T00:00:00"/>
    <s v="Story"/>
    <s v="Top trending tracks updated daily!"/>
    <n v="3413"/>
    <n v="326"/>
    <n v="86"/>
    <n v="44680"/>
    <n v="52719"/>
    <n v="272"/>
    <n v="8.5608773500447627E-2"/>
    <n v="153"/>
    <x v="3"/>
    <n v="3825"/>
  </r>
  <r>
    <s v="SP258"/>
    <s v="YouTube"/>
    <d v="2025-03-20T00:00:00"/>
    <s v="Reel"/>
    <s v="From pop to podcasts, it's all here."/>
    <n v="1453"/>
    <n v="156"/>
    <n v="178"/>
    <n v="52980"/>
    <n v="57180"/>
    <n v="286"/>
    <n v="3.3729709324273313E-2"/>
    <n v="292"/>
    <x v="2"/>
    <n v="1787"/>
  </r>
  <r>
    <s v="SP258"/>
    <s v="YouTube"/>
    <d v="2025-03-20T00:00:00"/>
    <s v="Reel"/>
    <s v="From pop to podcasts, it's all here."/>
    <n v="1453"/>
    <n v="156"/>
    <n v="178"/>
    <n v="52980"/>
    <n v="57180"/>
    <n v="286"/>
    <n v="3.3729709324273313E-2"/>
    <n v="292"/>
    <x v="0"/>
    <n v="1787"/>
  </r>
  <r>
    <s v="SP259"/>
    <s v="Twitter"/>
    <d v="2025-01-19T00:00:00"/>
    <s v="Story"/>
    <s v="Music that moves you-only on Spotify."/>
    <n v="1651"/>
    <n v="480"/>
    <n v="282"/>
    <n v="32140"/>
    <n v="70560"/>
    <n v="138"/>
    <n v="7.5077784691972627E-2"/>
    <n v="188"/>
    <x v="0"/>
    <n v="2413"/>
  </r>
  <r>
    <s v="SP259"/>
    <s v="Twitter"/>
    <d v="2025-01-19T00:00:00"/>
    <s v="Story"/>
    <s v="Music that moves you-only on Spotify."/>
    <n v="1651"/>
    <n v="480"/>
    <n v="282"/>
    <n v="32140"/>
    <n v="70560"/>
    <n v="138"/>
    <n v="7.5077784691972627E-2"/>
    <n v="188"/>
    <x v="1"/>
    <n v="2413"/>
  </r>
  <r>
    <s v="SP260"/>
    <s v="Twitter"/>
    <d v="2025-01-05T00:00:00"/>
    <s v="Story"/>
    <s v="Explore the latest podcasts now."/>
    <n v="3341"/>
    <n v="154"/>
    <n v="123"/>
    <n v="43369"/>
    <n v="49035"/>
    <n v="128"/>
    <n v="8.3423643616408028E-2"/>
    <n v="163"/>
    <x v="3"/>
    <n v="3618"/>
  </r>
  <r>
    <s v="SP260"/>
    <s v="Twitter"/>
    <d v="2025-01-05T00:00:00"/>
    <s v="Story"/>
    <s v="Explore the latest podcasts now."/>
    <n v="3341"/>
    <n v="154"/>
    <n v="123"/>
    <n v="43369"/>
    <n v="49035"/>
    <n v="128"/>
    <n v="8.3423643616408028E-2"/>
    <n v="163"/>
    <x v="1"/>
    <n v="3618"/>
  </r>
  <r>
    <s v="SP261"/>
    <s v="Twitter"/>
    <d v="2024-11-16T00:00:00"/>
    <s v="Text"/>
    <s v="From pop to podcasts, it's all here."/>
    <n v="2972"/>
    <n v="263"/>
    <n v="308"/>
    <n v="51740"/>
    <n v="28214"/>
    <n v="190"/>
    <n v="6.8477000386548123E-2"/>
    <n v="206"/>
    <x v="0"/>
    <n v="3543"/>
  </r>
  <r>
    <s v="SP262"/>
    <s v="Twitter"/>
    <d v="2024-11-30T00:00:00"/>
    <s v="Story"/>
    <s v="Explore the latest podcasts now."/>
    <n v="4963"/>
    <n v="255"/>
    <n v="193"/>
    <n v="44386"/>
    <n v="28415"/>
    <n v="174"/>
    <n v="0.12190780876853062"/>
    <n v="63"/>
    <x v="3"/>
    <n v="5411"/>
  </r>
  <r>
    <s v="SP262"/>
    <s v="Twitter"/>
    <d v="2024-11-30T00:00:00"/>
    <s v="Story"/>
    <s v="Explore the latest podcasts now."/>
    <n v="4963"/>
    <n v="255"/>
    <n v="193"/>
    <n v="44386"/>
    <n v="28415"/>
    <n v="174"/>
    <n v="0.12190780876853062"/>
    <n v="63"/>
    <x v="1"/>
    <n v="5411"/>
  </r>
  <r>
    <s v="SP263"/>
    <s v="YouTube"/>
    <d v="2024-03-27T00:00:00"/>
    <s v="Text"/>
    <s v="Music that moves you-only on Spotify."/>
    <n v="2399"/>
    <n v="191"/>
    <n v="221"/>
    <n v="51603"/>
    <n v="40033"/>
    <n v="173"/>
    <n v="5.4473577117609438E-2"/>
    <n v="240"/>
    <x v="2"/>
    <n v="2811"/>
  </r>
  <r>
    <s v="SP263"/>
    <s v="YouTube"/>
    <d v="2024-03-27T00:00:00"/>
    <s v="Text"/>
    <s v="Music that moves you-only on Spotify."/>
    <n v="2399"/>
    <n v="191"/>
    <n v="221"/>
    <n v="51603"/>
    <n v="40033"/>
    <n v="173"/>
    <n v="5.4473577117609438E-2"/>
    <n v="240"/>
    <x v="4"/>
    <n v="2811"/>
  </r>
  <r>
    <s v="SP264"/>
    <s v="YouTube"/>
    <d v="2025-05-31T00:00:00"/>
    <s v="Reel"/>
    <s v="Get into the groove with our new drop!"/>
    <n v="2162"/>
    <n v="318"/>
    <n v="83"/>
    <n v="46719"/>
    <n v="20482"/>
    <n v="185"/>
    <n v="5.4859907104176028E-2"/>
    <n v="236"/>
    <x v="2"/>
    <n v="2563"/>
  </r>
  <r>
    <s v="SP264"/>
    <s v="YouTube"/>
    <d v="2025-05-31T00:00:00"/>
    <s v="Reel"/>
    <s v="Get into the groove with our new drop!"/>
    <n v="2162"/>
    <n v="318"/>
    <n v="83"/>
    <n v="46719"/>
    <n v="20482"/>
    <n v="185"/>
    <n v="5.4859907104176028E-2"/>
    <n v="236"/>
    <x v="0"/>
    <n v="2563"/>
  </r>
  <r>
    <s v="SP265"/>
    <s v="Twitter"/>
    <d v="2025-06-17T00:00:00"/>
    <s v="Story"/>
    <s v="Explore the latest podcasts now."/>
    <n v="4341"/>
    <n v="141"/>
    <n v="63"/>
    <n v="50081"/>
    <n v="27507"/>
    <n v="221"/>
    <n v="9.0752980172121162E-2"/>
    <n v="137"/>
    <x v="2"/>
    <n v="4545"/>
  </r>
  <r>
    <s v="SP265"/>
    <s v="Twitter"/>
    <d v="2025-06-17T00:00:00"/>
    <s v="Story"/>
    <s v="Explore the latest podcasts now."/>
    <n v="4341"/>
    <n v="141"/>
    <n v="63"/>
    <n v="50081"/>
    <n v="27507"/>
    <n v="221"/>
    <n v="9.0752980172121162E-2"/>
    <n v="137"/>
    <x v="3"/>
    <n v="4545"/>
  </r>
  <r>
    <s v="SP266"/>
    <s v="Instagram"/>
    <d v="2024-05-30T00:00:00"/>
    <s v="Story"/>
    <s v="Get into the groove with our new drop!"/>
    <n v="2448"/>
    <n v="464"/>
    <n v="98"/>
    <n v="25737"/>
    <n v="48545"/>
    <n v="246"/>
    <n v="0.11695224773672146"/>
    <n v="68"/>
    <x v="1"/>
    <n v="3010"/>
  </r>
  <r>
    <s v="SP267"/>
    <s v="YouTube"/>
    <d v="2024-11-08T00:00:00"/>
    <s v="Text"/>
    <s v="Top trending tracks updated daily!"/>
    <n v="2471"/>
    <n v="166"/>
    <n v="320"/>
    <n v="48254"/>
    <n v="46900"/>
    <n v="111"/>
    <n v="6.1279893894806647E-2"/>
    <n v="219"/>
    <x v="2"/>
    <n v="2957"/>
  </r>
  <r>
    <s v="SP267"/>
    <s v="YouTube"/>
    <d v="2024-11-08T00:00:00"/>
    <s v="Text"/>
    <s v="Top trending tracks updated daily!"/>
    <n v="2471"/>
    <n v="166"/>
    <n v="320"/>
    <n v="48254"/>
    <n v="46900"/>
    <n v="111"/>
    <n v="6.1279893894806647E-2"/>
    <n v="219"/>
    <x v="4"/>
    <n v="2957"/>
  </r>
  <r>
    <s v="SP268"/>
    <s v="YouTube"/>
    <d v="2024-03-17T00:00:00"/>
    <s v="Reel"/>
    <s v="Explore the latest podcasts now."/>
    <n v="2692"/>
    <n v="446"/>
    <n v="216"/>
    <n v="45818"/>
    <n v="62723"/>
    <n v="85"/>
    <n v="7.3202671439172376E-2"/>
    <n v="193"/>
    <x v="2"/>
    <n v="3354"/>
  </r>
  <r>
    <s v="SP268"/>
    <s v="YouTube"/>
    <d v="2024-03-17T00:00:00"/>
    <s v="Reel"/>
    <s v="Explore the latest podcasts now."/>
    <n v="2692"/>
    <n v="446"/>
    <n v="216"/>
    <n v="45818"/>
    <n v="62723"/>
    <n v="85"/>
    <n v="7.3202671439172376E-2"/>
    <n v="193"/>
    <x v="0"/>
    <n v="3354"/>
  </r>
  <r>
    <s v="SP269"/>
    <s v="YouTube"/>
    <d v="2024-06-21T00:00:00"/>
    <s v="Reel"/>
    <s v="Music that moves you-only on Spotify."/>
    <n v="4621"/>
    <n v="374"/>
    <n v="298"/>
    <n v="56979"/>
    <n v="24098"/>
    <n v="205"/>
    <n v="9.2893873181347508E-2"/>
    <n v="129"/>
    <x v="2"/>
    <n v="5293"/>
  </r>
  <r>
    <s v="SP269"/>
    <s v="YouTube"/>
    <d v="2024-06-21T00:00:00"/>
    <s v="Reel"/>
    <s v="Music that moves you-only on Spotify."/>
    <n v="4621"/>
    <n v="374"/>
    <n v="298"/>
    <n v="56979"/>
    <n v="24098"/>
    <n v="205"/>
    <n v="9.2893873181347508E-2"/>
    <n v="129"/>
    <x v="0"/>
    <n v="5293"/>
  </r>
  <r>
    <s v="SP270"/>
    <s v="Twitter"/>
    <d v="2024-11-13T00:00:00"/>
    <s v="Story"/>
    <s v="New music just dropped. Hit play!"/>
    <n v="1409"/>
    <n v="466"/>
    <n v="105"/>
    <n v="58923"/>
    <n v="38753"/>
    <n v="265"/>
    <n v="3.3603177027646251E-2"/>
    <n v="293"/>
    <x v="2"/>
    <n v="1980"/>
  </r>
  <r>
    <s v="SP270"/>
    <s v="Twitter"/>
    <d v="2024-11-13T00:00:00"/>
    <s v="Story"/>
    <s v="New music just dropped. Hit play!"/>
    <n v="1409"/>
    <n v="466"/>
    <n v="105"/>
    <n v="58923"/>
    <n v="38753"/>
    <n v="265"/>
    <n v="3.3603177027646251E-2"/>
    <n v="293"/>
    <x v="3"/>
    <n v="1980"/>
  </r>
  <r>
    <s v="SP271"/>
    <s v="Twitter"/>
    <d v="2025-02-05T00:00:00"/>
    <s v="Story"/>
    <s v="Discover fresh beats on Spotify!"/>
    <n v="3029"/>
    <n v="440"/>
    <n v="66"/>
    <n v="23815"/>
    <n v="47895"/>
    <n v="210"/>
    <n v="0.14843585975225698"/>
    <n v="37"/>
    <x v="2"/>
    <n v="3535"/>
  </r>
  <r>
    <s v="SP271"/>
    <s v="Twitter"/>
    <d v="2025-02-05T00:00:00"/>
    <s v="Story"/>
    <s v="Discover fresh beats on Spotify!"/>
    <n v="3029"/>
    <n v="440"/>
    <n v="66"/>
    <n v="23815"/>
    <n v="47895"/>
    <n v="210"/>
    <n v="0.14843585975225698"/>
    <n v="37"/>
    <x v="3"/>
    <n v="3535"/>
  </r>
  <r>
    <s v="SP272"/>
    <s v="Twitter"/>
    <d v="2024-11-07T00:00:00"/>
    <s v="Text"/>
    <s v="Explore the latest podcasts now."/>
    <n v="2229"/>
    <n v="395"/>
    <n v="328"/>
    <n v="56921"/>
    <n v="37176"/>
    <n v="126"/>
    <n v="5.1861351697967357E-2"/>
    <n v="249"/>
    <x v="0"/>
    <n v="2952"/>
  </r>
  <r>
    <s v="SP273"/>
    <s v="Twitter"/>
    <d v="2024-02-12T00:00:00"/>
    <s v="Text"/>
    <s v="Explore the latest podcasts now."/>
    <n v="2691"/>
    <n v="486"/>
    <n v="206"/>
    <n v="51133"/>
    <n v="44583"/>
    <n v="276"/>
    <n v="6.6160796354604659E-2"/>
    <n v="210"/>
    <x v="1"/>
    <n v="3383"/>
  </r>
  <r>
    <s v="SP274"/>
    <s v="Instagram"/>
    <d v="2024-10-08T00:00:00"/>
    <s v="Text"/>
    <s v="Explore the latest podcasts now."/>
    <n v="2110"/>
    <n v="384"/>
    <n v="236"/>
    <n v="49965"/>
    <n v="61555"/>
    <n v="195"/>
    <n v="5.4638246772740921E-2"/>
    <n v="237"/>
    <x v="2"/>
    <n v="2730"/>
  </r>
  <r>
    <s v="SP275"/>
    <s v="Instagram"/>
    <d v="2024-02-19T00:00:00"/>
    <s v="Text"/>
    <s v="Wrapped is here! Relive your top tracks "/>
    <n v="4752"/>
    <n v="449"/>
    <n v="309"/>
    <n v="58530"/>
    <n v="26630"/>
    <n v="234"/>
    <n v="9.4139757389372969E-2"/>
    <n v="125"/>
    <x v="2"/>
    <n v="5510"/>
  </r>
  <r>
    <s v="SP276"/>
    <s v="Twitter"/>
    <d v="2025-03-04T00:00:00"/>
    <s v="Text"/>
    <s v="Discover fresh beats on Spotify!"/>
    <n v="2177"/>
    <n v="258"/>
    <n v="292"/>
    <n v="47276"/>
    <n v="51324"/>
    <n v="143"/>
    <n v="5.7682545054573146E-2"/>
    <n v="231"/>
    <x v="1"/>
    <n v="2727"/>
  </r>
  <r>
    <s v="SP277"/>
    <s v="Instagram"/>
    <d v="2025-02-03T00:00:00"/>
    <s v="Story"/>
    <s v="New music just dropped. Hit play!"/>
    <n v="1205"/>
    <n v="486"/>
    <n v="269"/>
    <n v="23341"/>
    <n v="42411"/>
    <n v="184"/>
    <n v="8.3972409065592737E-2"/>
    <n v="161"/>
    <x v="1"/>
    <n v="1960"/>
  </r>
  <r>
    <s v="SP278"/>
    <s v="Instagram"/>
    <d v="2024-12-02T00:00:00"/>
    <s v="Text"/>
    <s v="Top trending tracks updated daily!"/>
    <n v="3194"/>
    <n v="292"/>
    <n v="245"/>
    <n v="56371"/>
    <n v="65597"/>
    <n v="163"/>
    <n v="6.6186514342481059E-2"/>
    <n v="209"/>
    <x v="0"/>
    <n v="3731"/>
  </r>
  <r>
    <s v="SP278"/>
    <s v="Instagram"/>
    <d v="2024-12-02T00:00:00"/>
    <s v="Text"/>
    <s v="Top trending tracks updated daily!"/>
    <n v="3194"/>
    <n v="292"/>
    <n v="245"/>
    <n v="56371"/>
    <n v="65597"/>
    <n v="163"/>
    <n v="6.6186514342481059E-2"/>
    <n v="209"/>
    <x v="1"/>
    <n v="3731"/>
  </r>
  <r>
    <s v="SP279"/>
    <s v="Twitter"/>
    <d v="2025-01-19T00:00:00"/>
    <s v="Story"/>
    <s v="New music just dropped. Hit play!"/>
    <n v="3507"/>
    <n v="295"/>
    <n v="371"/>
    <n v="20410"/>
    <n v="53965"/>
    <n v="212"/>
    <n v="0.20445859872611466"/>
    <n v="4"/>
    <x v="0"/>
    <n v="4173"/>
  </r>
  <r>
    <s v="SP279"/>
    <s v="Twitter"/>
    <d v="2025-01-19T00:00:00"/>
    <s v="Story"/>
    <s v="New music just dropped. Hit play!"/>
    <n v="3507"/>
    <n v="295"/>
    <n v="371"/>
    <n v="20410"/>
    <n v="53965"/>
    <n v="212"/>
    <n v="0.20445859872611466"/>
    <n v="4"/>
    <x v="1"/>
    <n v="4173"/>
  </r>
  <r>
    <s v="SP280"/>
    <s v="Twitter"/>
    <d v="2024-09-28T00:00:00"/>
    <s v="Story"/>
    <s v="Wrapped is here! Relive your top tracks "/>
    <n v="4471"/>
    <n v="317"/>
    <n v="249"/>
    <n v="44862"/>
    <n v="33365"/>
    <n v="184"/>
    <n v="0.1122776514644911"/>
    <n v="77"/>
    <x v="2"/>
    <n v="5037"/>
  </r>
  <r>
    <s v="SP280"/>
    <s v="Twitter"/>
    <d v="2024-09-28T00:00:00"/>
    <s v="Story"/>
    <s v="Wrapped is here! Relive your top tracks "/>
    <n v="4471"/>
    <n v="317"/>
    <n v="249"/>
    <n v="44862"/>
    <n v="33365"/>
    <n v="184"/>
    <n v="0.1122776514644911"/>
    <n v="77"/>
    <x v="3"/>
    <n v="5037"/>
  </r>
  <r>
    <s v="SP281"/>
    <s v="Instagram"/>
    <d v="2024-01-07T00:00:00"/>
    <s v="Text"/>
    <s v="Top trending tracks updated daily!"/>
    <n v="4931"/>
    <n v="469"/>
    <n v="193"/>
    <n v="56701"/>
    <n v="69437"/>
    <n v="291"/>
    <n v="9.8640235621946709E-2"/>
    <n v="110"/>
    <x v="0"/>
    <n v="5593"/>
  </r>
  <r>
    <s v="SP281"/>
    <s v="Instagram"/>
    <d v="2024-01-07T00:00:00"/>
    <s v="Text"/>
    <s v="Top trending tracks updated daily!"/>
    <n v="4931"/>
    <n v="469"/>
    <n v="193"/>
    <n v="56701"/>
    <n v="69437"/>
    <n v="291"/>
    <n v="9.8640235621946709E-2"/>
    <n v="110"/>
    <x v="1"/>
    <n v="5593"/>
  </r>
  <r>
    <s v="SP282"/>
    <s v="Twitter"/>
    <d v="2024-02-21T00:00:00"/>
    <s v="Story"/>
    <s v="Get into the groove with our new drop!"/>
    <n v="2604"/>
    <n v="439"/>
    <n v="148"/>
    <n v="58468"/>
    <n v="39629"/>
    <n v="163"/>
    <n v="5.4576862557296296E-2"/>
    <n v="239"/>
    <x v="3"/>
    <n v="3191"/>
  </r>
  <r>
    <s v="SP282"/>
    <s v="Twitter"/>
    <d v="2024-02-21T00:00:00"/>
    <s v="Story"/>
    <s v="Get into the groove with our new drop!"/>
    <n v="2604"/>
    <n v="439"/>
    <n v="148"/>
    <n v="58468"/>
    <n v="39629"/>
    <n v="163"/>
    <n v="5.4576862557296296E-2"/>
    <n v="239"/>
    <x v="1"/>
    <n v="3191"/>
  </r>
  <r>
    <s v="SP283"/>
    <s v="Instagram"/>
    <d v="2024-08-27T00:00:00"/>
    <s v="Text"/>
    <s v="Music that moves you-only on Spotify."/>
    <n v="4197"/>
    <n v="359"/>
    <n v="280"/>
    <n v="56048"/>
    <n v="70930"/>
    <n v="295"/>
    <n v="8.628318584070796E-2"/>
    <n v="151"/>
    <x v="2"/>
    <n v="4836"/>
  </r>
  <r>
    <s v="SP284"/>
    <s v="Instagram"/>
    <d v="2024-10-24T00:00:00"/>
    <s v="Story"/>
    <s v="Top trending tracks updated daily!"/>
    <n v="1914"/>
    <n v="255"/>
    <n v="156"/>
    <n v="27660"/>
    <n v="47776"/>
    <n v="111"/>
    <n v="8.4056399132321047E-2"/>
    <n v="160"/>
    <x v="1"/>
    <n v="2325"/>
  </r>
  <r>
    <s v="SP285"/>
    <s v="YouTube"/>
    <d v="2025-01-29T00:00:00"/>
    <s v="Text"/>
    <s v="New music just dropped. Hit play!"/>
    <n v="1334"/>
    <n v="357"/>
    <n v="257"/>
    <n v="56910"/>
    <n v="70606"/>
    <n v="228"/>
    <n v="3.4229485151994379E-2"/>
    <n v="290"/>
    <x v="2"/>
    <n v="1948"/>
  </r>
  <r>
    <s v="SP285"/>
    <s v="YouTube"/>
    <d v="2025-01-29T00:00:00"/>
    <s v="Text"/>
    <s v="New music just dropped. Hit play!"/>
    <n v="1334"/>
    <n v="357"/>
    <n v="257"/>
    <n v="56910"/>
    <n v="70606"/>
    <n v="228"/>
    <n v="3.4229485151994379E-2"/>
    <n v="290"/>
    <x v="4"/>
    <n v="1948"/>
  </r>
  <r>
    <s v="SP286"/>
    <s v="Instagram"/>
    <d v="2024-05-01T00:00:00"/>
    <s v="Text"/>
    <s v="Get into the groove with our new drop!"/>
    <n v="3359"/>
    <n v="137"/>
    <n v="387"/>
    <n v="33861"/>
    <n v="47257"/>
    <n v="198"/>
    <n v="0.11467469950680724"/>
    <n v="72"/>
    <x v="2"/>
    <n v="3883"/>
  </r>
  <r>
    <s v="SP287"/>
    <s v="YouTube"/>
    <d v="2024-06-25T00:00:00"/>
    <s v="Text"/>
    <s v="Your weekend playlist is waiting."/>
    <n v="2172"/>
    <n v="338"/>
    <n v="70"/>
    <n v="30515"/>
    <n v="57853"/>
    <n v="156"/>
    <n v="8.4548582664263475E-2"/>
    <n v="156"/>
    <x v="2"/>
    <n v="2580"/>
  </r>
  <r>
    <s v="SP287"/>
    <s v="YouTube"/>
    <d v="2024-06-25T00:00:00"/>
    <s v="Text"/>
    <s v="Your weekend playlist is waiting."/>
    <n v="2172"/>
    <n v="338"/>
    <n v="70"/>
    <n v="30515"/>
    <n v="57853"/>
    <n v="156"/>
    <n v="8.4548582664263475E-2"/>
    <n v="156"/>
    <x v="4"/>
    <n v="2580"/>
  </r>
  <r>
    <s v="SP288"/>
    <s v="Twitter"/>
    <d v="2024-08-09T00:00:00"/>
    <s v="Story"/>
    <s v="From pop to podcasts, it's all here."/>
    <n v="4877"/>
    <n v="442"/>
    <n v="236"/>
    <n v="52673"/>
    <n v="48241"/>
    <n v="114"/>
    <n v="0.10546200140489435"/>
    <n v="98"/>
    <x v="2"/>
    <n v="5555"/>
  </r>
  <r>
    <s v="SP288"/>
    <s v="Twitter"/>
    <d v="2024-08-09T00:00:00"/>
    <s v="Story"/>
    <s v="From pop to podcasts, it's all here."/>
    <n v="4877"/>
    <n v="442"/>
    <n v="236"/>
    <n v="52673"/>
    <n v="48241"/>
    <n v="114"/>
    <n v="0.10546200140489435"/>
    <n v="98"/>
    <x v="3"/>
    <n v="5555"/>
  </r>
  <r>
    <s v="SP289"/>
    <s v="Instagram"/>
    <d v="2025-01-21T00:00:00"/>
    <s v="Story"/>
    <s v="New music just dropped. Hit play!"/>
    <n v="4918"/>
    <n v="440"/>
    <n v="149"/>
    <n v="53269"/>
    <n v="64370"/>
    <n v="269"/>
    <n v="0.10338095327488783"/>
    <n v="102"/>
    <x v="1"/>
    <n v="5507"/>
  </r>
  <r>
    <s v="SP290"/>
    <s v="Twitter"/>
    <d v="2024-08-13T00:00:00"/>
    <s v="Text"/>
    <s v="Explore the latest podcasts now."/>
    <n v="3418"/>
    <n v="107"/>
    <n v="221"/>
    <n v="23927"/>
    <n v="26182"/>
    <n v="155"/>
    <n v="0.1565595352530614"/>
    <n v="31"/>
    <x v="0"/>
    <n v="3746"/>
  </r>
  <r>
    <s v="SP291"/>
    <s v="Instagram"/>
    <d v="2024-06-29T00:00:00"/>
    <s v="Text"/>
    <s v="Your weekend playlist is waiting."/>
    <n v="2088"/>
    <n v="490"/>
    <n v="124"/>
    <n v="46544"/>
    <n v="69346"/>
    <n v="178"/>
    <n v="5.8052595393606049E-2"/>
    <n v="229"/>
    <x v="0"/>
    <n v="2702"/>
  </r>
  <r>
    <s v="SP291"/>
    <s v="Instagram"/>
    <d v="2024-06-29T00:00:00"/>
    <s v="Text"/>
    <s v="Your weekend playlist is waiting."/>
    <n v="2088"/>
    <n v="490"/>
    <n v="124"/>
    <n v="46544"/>
    <n v="69346"/>
    <n v="178"/>
    <n v="5.8052595393606049E-2"/>
    <n v="229"/>
    <x v="1"/>
    <n v="2702"/>
  </r>
  <r>
    <s v="SP292"/>
    <s v="Twitter"/>
    <d v="2024-11-03T00:00:00"/>
    <s v="Story"/>
    <s v="Explore the latest podcasts now."/>
    <n v="3061"/>
    <n v="320"/>
    <n v="76"/>
    <n v="26640"/>
    <n v="24306"/>
    <n v="112"/>
    <n v="0.12976726726726726"/>
    <n v="57"/>
    <x v="3"/>
    <n v="3457"/>
  </r>
  <r>
    <s v="SP292"/>
    <s v="Twitter"/>
    <d v="2024-11-03T00:00:00"/>
    <s v="Story"/>
    <s v="Explore the latest podcasts now."/>
    <n v="3061"/>
    <n v="320"/>
    <n v="76"/>
    <n v="26640"/>
    <n v="24306"/>
    <n v="112"/>
    <n v="0.12976726726726726"/>
    <n v="57"/>
    <x v="1"/>
    <n v="3457"/>
  </r>
  <r>
    <s v="SP293"/>
    <s v="YouTube"/>
    <d v="2025-04-18T00:00:00"/>
    <s v="Reel"/>
    <s v="Your weekend playlist is waiting."/>
    <n v="1265"/>
    <n v="230"/>
    <n v="364"/>
    <n v="41312"/>
    <n v="50382"/>
    <n v="106"/>
    <n v="4.4999031758326875E-2"/>
    <n v="266"/>
    <x v="2"/>
    <n v="1859"/>
  </r>
  <r>
    <s v="SP293"/>
    <s v="YouTube"/>
    <d v="2025-04-18T00:00:00"/>
    <s v="Reel"/>
    <s v="Your weekend playlist is waiting."/>
    <n v="1265"/>
    <n v="230"/>
    <n v="364"/>
    <n v="41312"/>
    <n v="50382"/>
    <n v="106"/>
    <n v="4.4999031758326875E-2"/>
    <n v="266"/>
    <x v="0"/>
    <n v="1859"/>
  </r>
  <r>
    <s v="SP294"/>
    <s v="Instagram"/>
    <d v="2024-12-27T00:00:00"/>
    <s v="Text"/>
    <s v="From pop to podcasts, it's all here."/>
    <n v="1436"/>
    <n v="219"/>
    <n v="229"/>
    <n v="58488"/>
    <n v="24314"/>
    <n v="147"/>
    <n v="3.221173574066475E-2"/>
    <n v="294"/>
    <x v="2"/>
    <n v="1884"/>
  </r>
  <r>
    <s v="SP295"/>
    <s v="Instagram"/>
    <d v="2025-03-08T00:00:00"/>
    <s v="Story"/>
    <s v="Top trending tracks updated daily!"/>
    <n v="2244"/>
    <n v="392"/>
    <n v="231"/>
    <n v="25834"/>
    <n v="50906"/>
    <n v="165"/>
    <n v="0.1109777812185492"/>
    <n v="80"/>
    <x v="1"/>
    <n v="2867"/>
  </r>
  <r>
    <s v="SP296"/>
    <s v="Twitter"/>
    <d v="2025-03-20T00:00:00"/>
    <s v="Story"/>
    <s v="Your weekend playlist is waiting."/>
    <n v="3393"/>
    <n v="104"/>
    <n v="79"/>
    <n v="30025"/>
    <n v="21593"/>
    <n v="165"/>
    <n v="0.1191007493755204"/>
    <n v="65"/>
    <x v="3"/>
    <n v="3576"/>
  </r>
  <r>
    <s v="SP296"/>
    <s v="Twitter"/>
    <d v="2025-03-20T00:00:00"/>
    <s v="Story"/>
    <s v="Your weekend playlist is waiting."/>
    <n v="3393"/>
    <n v="104"/>
    <n v="79"/>
    <n v="30025"/>
    <n v="21593"/>
    <n v="165"/>
    <n v="0.1191007493755204"/>
    <n v="65"/>
    <x v="1"/>
    <n v="3576"/>
  </r>
  <r>
    <s v="SP297"/>
    <s v="Twitter"/>
    <d v="2024-11-16T00:00:00"/>
    <s v="Text"/>
    <s v="Explore the latest podcasts now."/>
    <n v="2901"/>
    <n v="108"/>
    <n v="86"/>
    <n v="51777"/>
    <n v="23773"/>
    <n v="160"/>
    <n v="5.9775576027966085E-2"/>
    <n v="224"/>
    <x v="0"/>
    <n v="3095"/>
  </r>
  <r>
    <s v="SP298"/>
    <s v="Twitter"/>
    <d v="2025-06-30T00:00:00"/>
    <s v="Text"/>
    <s v="What's your vibe today? #SpotifyHits"/>
    <n v="2275"/>
    <n v="285"/>
    <n v="125"/>
    <n v="43970"/>
    <n v="74761"/>
    <n v="83"/>
    <n v="6.1064362065044349E-2"/>
    <n v="221"/>
    <x v="1"/>
    <n v="2685"/>
  </r>
  <r>
    <s v="SP299"/>
    <s v="Twitter"/>
    <d v="2024-01-12T00:00:00"/>
    <s v="Story"/>
    <s v="Wrapped is here! Relive your top tracks "/>
    <n v="2227"/>
    <n v="494"/>
    <n v="161"/>
    <n v="51651"/>
    <n v="68074"/>
    <n v="240"/>
    <n v="5.5797564422760453E-2"/>
    <n v="235"/>
    <x v="2"/>
    <n v="2882"/>
  </r>
  <r>
    <s v="SP299"/>
    <s v="Twitter"/>
    <d v="2024-01-12T00:00:00"/>
    <s v="Story"/>
    <s v="Wrapped is here! Relive your top tracks "/>
    <n v="2227"/>
    <n v="494"/>
    <n v="161"/>
    <n v="51651"/>
    <n v="68074"/>
    <n v="240"/>
    <n v="5.5797564422760453E-2"/>
    <n v="235"/>
    <x v="3"/>
    <n v="2882"/>
  </r>
  <r>
    <s v="SP300"/>
    <s v="Instagram"/>
    <d v="2024-02-07T00:00:00"/>
    <s v="Text"/>
    <s v="Music that moves you-only on Spotify."/>
    <n v="1883"/>
    <n v="432"/>
    <n v="397"/>
    <n v="28759"/>
    <n v="18691"/>
    <n v="270"/>
    <n v="9.4300914496331587E-2"/>
    <n v="123"/>
    <x v="0"/>
    <n v="2712"/>
  </r>
  <r>
    <s v="SP300"/>
    <s v="Instagram"/>
    <d v="2024-02-07T00:00:00"/>
    <s v="Text"/>
    <s v="Music that moves you-only on Spotify."/>
    <n v="1883"/>
    <n v="432"/>
    <n v="397"/>
    <n v="28759"/>
    <n v="18691"/>
    <n v="270"/>
    <n v="9.4300914496331587E-2"/>
    <n v="123"/>
    <x v="1"/>
    <n v="27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s v="#SoundtrackOfLife"/>
    <s v="#NowPlaying"/>
    <n v="0.13200509890939993"/>
    <n v="53"/>
    <n v="2796"/>
    <x v="0"/>
    <x v="0"/>
    <x v="0"/>
  </r>
  <r>
    <s v="SP002"/>
    <x v="0"/>
    <d v="2025-02-01T00:00:00"/>
    <x v="0"/>
    <s v="Explore the latest podcasts now."/>
    <n v="1934"/>
    <n v="210"/>
    <n v="393"/>
    <n v="29129"/>
    <n v="73287"/>
    <n v="273"/>
    <s v="#DiscoverWeekly"/>
    <m/>
    <n v="8.7095334546328396E-2"/>
    <n v="145"/>
    <n v="2537"/>
    <x v="1"/>
    <x v="1"/>
    <x v="1"/>
  </r>
  <r>
    <s v="SP003"/>
    <x v="1"/>
    <d v="2024-12-03T00:00:00"/>
    <x v="1"/>
    <s v="New music just dropped. Hit play!"/>
    <n v="3092"/>
    <n v="177"/>
    <n v="81"/>
    <n v="47533"/>
    <n v="29220"/>
    <n v="121"/>
    <s v="#MusicForEveryone"/>
    <s v="#NowPlaying"/>
    <n v="7.0477352576105018E-2"/>
    <n v="202"/>
    <n v="3350"/>
    <x v="2"/>
    <x v="2"/>
    <x v="1"/>
  </r>
  <r>
    <s v="SP004"/>
    <x v="0"/>
    <d v="2024-12-03T00:00:00"/>
    <x v="0"/>
    <s v="Wrapped is here! Relive your top tracks "/>
    <n v="3173"/>
    <n v="229"/>
    <n v="197"/>
    <n v="29604"/>
    <n v="21809"/>
    <n v="272"/>
    <s v="#SoundtrackOfLife"/>
    <s v="#NowPlaying"/>
    <n v="0.1215714092690177"/>
    <n v="64"/>
    <n v="3599"/>
    <x v="2"/>
    <x v="2"/>
    <x v="1"/>
  </r>
  <r>
    <s v="SP005"/>
    <x v="2"/>
    <d v="2024-04-06T00:00:00"/>
    <x v="0"/>
    <s v="Music that moves you-only on Spotify."/>
    <n v="2748"/>
    <n v="145"/>
    <n v="315"/>
    <n v="24401"/>
    <n v="61182"/>
    <n v="200"/>
    <s v="#DiscoverWeekly"/>
    <s v="#SpotifyWrapped"/>
    <n v="0.1314700217204213"/>
    <n v="54"/>
    <n v="3208"/>
    <x v="0"/>
    <x v="2"/>
    <x v="0"/>
  </r>
  <r>
    <s v="SP006"/>
    <x v="2"/>
    <d v="2024-06-13T00:00:00"/>
    <x v="0"/>
    <s v="What's your vibe today? #SpotifyHits"/>
    <n v="3882"/>
    <n v="239"/>
    <n v="275"/>
    <n v="58748"/>
    <n v="44646"/>
    <n v="149"/>
    <s v="#DiscoverWeekly"/>
    <s v="#SpotifyWrapped"/>
    <n v="7.4828079253761837E-2"/>
    <n v="190"/>
    <n v="4396"/>
    <x v="0"/>
    <x v="2"/>
    <x v="0"/>
  </r>
  <r>
    <s v="SP007"/>
    <x v="1"/>
    <d v="2024-12-19T00:00:00"/>
    <x v="1"/>
    <s v="Get into the groove with our new drop!"/>
    <n v="4674"/>
    <n v="409"/>
    <n v="327"/>
    <n v="20756"/>
    <n v="63599"/>
    <n v="212"/>
    <s v="#SoundtrackOfLife"/>
    <s v="#NowPlaying"/>
    <n v="0.26064752360763155"/>
    <n v="1"/>
    <n v="5410"/>
    <x v="2"/>
    <x v="2"/>
    <x v="1"/>
  </r>
  <r>
    <s v="SP008"/>
    <x v="1"/>
    <d v="2024-05-09T00:00:00"/>
    <x v="1"/>
    <s v="Wrapped is here! Relive your top tracks "/>
    <n v="1428"/>
    <n v="347"/>
    <n v="67"/>
    <n v="21148"/>
    <n v="19712"/>
    <n v="120"/>
    <s v="#DiscoverWeekly"/>
    <s v="#MusicForEveryone"/>
    <n v="8.7100435029317191E-2"/>
    <n v="144"/>
    <n v="1842"/>
    <x v="0"/>
    <x v="2"/>
    <x v="0"/>
  </r>
  <r>
    <s v="SP009"/>
    <x v="1"/>
    <d v="2025-06-15T00:00:00"/>
    <x v="0"/>
    <s v="Top trending tracks updated daily!"/>
    <n v="4432"/>
    <n v="223"/>
    <n v="299"/>
    <n v="59016"/>
    <n v="21742"/>
    <n v="171"/>
    <s v="#NowPlaying"/>
    <m/>
    <n v="8.3943337400027115E-2"/>
    <n v="162"/>
    <n v="4954"/>
    <x v="0"/>
    <x v="0"/>
    <x v="0"/>
  </r>
  <r>
    <s v="SP010"/>
    <x v="1"/>
    <d v="2024-12-04T00:00:00"/>
    <x v="0"/>
    <s v="Wrapped is here! Relive your top tracks "/>
    <n v="2357"/>
    <n v="274"/>
    <n v="172"/>
    <n v="21566"/>
    <n v="66829"/>
    <n v="284"/>
    <s v="#NowPlaying"/>
    <m/>
    <n v="0.12997310581470833"/>
    <n v="56"/>
    <n v="2803"/>
    <x v="2"/>
    <x v="2"/>
    <x v="1"/>
  </r>
  <r>
    <s v="SP011"/>
    <x v="1"/>
    <d v="2024-03-06T00:00:00"/>
    <x v="0"/>
    <s v="Discover fresh beats on Spotify!"/>
    <n v="1971"/>
    <n v="370"/>
    <n v="306"/>
    <n v="31316"/>
    <n v="27897"/>
    <n v="88"/>
    <s v="#SoundtrackOfLife"/>
    <m/>
    <n v="8.4525482181632389E-2"/>
    <n v="158"/>
    <n v="2647"/>
    <x v="0"/>
    <x v="2"/>
    <x v="0"/>
  </r>
  <r>
    <s v="SP012"/>
    <x v="0"/>
    <d v="2024-05-14T00:00:00"/>
    <x v="0"/>
    <s v="Discover fresh beats on Spotify!"/>
    <n v="1485"/>
    <n v="353"/>
    <n v="244"/>
    <n v="38419"/>
    <n v="38556"/>
    <n v="86"/>
    <s v="#SoundtrackOfLife"/>
    <s v="#NowPlaying"/>
    <n v="5.4191936281527367E-2"/>
    <n v="241"/>
    <n v="2082"/>
    <x v="0"/>
    <x v="2"/>
    <x v="0"/>
  </r>
  <r>
    <s v="SP013"/>
    <x v="1"/>
    <d v="2025-06-18T00:00:00"/>
    <x v="1"/>
    <s v="Discover fresh beats on Spotify!"/>
    <n v="3956"/>
    <n v="319"/>
    <n v="61"/>
    <n v="58162"/>
    <n v="28720"/>
    <n v="213"/>
    <s v="#MusicForEveryone"/>
    <s v="#NowPlaying"/>
    <n v="7.4550393727863554E-2"/>
    <n v="191"/>
    <n v="4336"/>
    <x v="0"/>
    <x v="0"/>
    <x v="0"/>
  </r>
  <r>
    <s v="SP014"/>
    <x v="1"/>
    <d v="2024-10-08T00:00:00"/>
    <x v="0"/>
    <s v="From pop to podcasts, it's all here."/>
    <n v="2460"/>
    <n v="409"/>
    <n v="253"/>
    <n v="36702"/>
    <n v="46122"/>
    <n v="264"/>
    <s v="#NowPlaying"/>
    <m/>
    <n v="8.5063484278785892E-2"/>
    <n v="155"/>
    <n v="3122"/>
    <x v="0"/>
    <x v="2"/>
    <x v="0"/>
  </r>
  <r>
    <s v="SP015"/>
    <x v="1"/>
    <d v="2024-05-06T00:00:00"/>
    <x v="0"/>
    <s v="Your weekend playlist is waiting."/>
    <n v="3476"/>
    <n v="355"/>
    <n v="396"/>
    <n v="37492"/>
    <n v="27285"/>
    <n v="179"/>
    <s v="#NowPlaying"/>
    <m/>
    <n v="0.11274405206444041"/>
    <n v="75"/>
    <n v="4227"/>
    <x v="0"/>
    <x v="2"/>
    <x v="0"/>
  </r>
  <r>
    <s v="SP016"/>
    <x v="1"/>
    <d v="2024-12-29T00:00:00"/>
    <x v="1"/>
    <s v="New music just dropped. Hit play!"/>
    <n v="4049"/>
    <n v="377"/>
    <n v="94"/>
    <n v="48182"/>
    <n v="42875"/>
    <n v="172"/>
    <s v="#MusicForEveryone"/>
    <s v="#NowPlaying"/>
    <n v="9.3810966751068869E-2"/>
    <n v="127"/>
    <n v="4520"/>
    <x v="2"/>
    <x v="2"/>
    <x v="1"/>
  </r>
  <r>
    <s v="SP017"/>
    <x v="1"/>
    <d v="2024-06-10T00:00:00"/>
    <x v="0"/>
    <s v="What's your vibe today? #SpotifyHits"/>
    <n v="1514"/>
    <n v="164"/>
    <n v="275"/>
    <n v="41364"/>
    <n v="44389"/>
    <n v="83"/>
    <s v="#NowPlaying"/>
    <m/>
    <n v="4.7214969538729328E-2"/>
    <n v="261"/>
    <n v="1953"/>
    <x v="0"/>
    <x v="2"/>
    <x v="0"/>
  </r>
  <r>
    <s v="SP018"/>
    <x v="0"/>
    <d v="2024-02-03T00:00:00"/>
    <x v="1"/>
    <s v="Music that moves you-only on Spotify."/>
    <n v="4281"/>
    <n v="101"/>
    <n v="163"/>
    <n v="32278"/>
    <n v="53382"/>
    <n v="235"/>
    <s v="#NowPlaying"/>
    <m/>
    <n v="0.1408079806679472"/>
    <n v="46"/>
    <n v="4545"/>
    <x v="0"/>
    <x v="2"/>
    <x v="0"/>
  </r>
  <r>
    <s v="SP019"/>
    <x v="2"/>
    <d v="2024-06-15T00:00:00"/>
    <x v="2"/>
    <s v="Get into the groove with our new drop!"/>
    <n v="1751"/>
    <n v="143"/>
    <n v="151"/>
    <n v="31826"/>
    <n v="47729"/>
    <n v="95"/>
    <s v="#DiscoverWeekly"/>
    <s v="#SoundtrackOfLife"/>
    <n v="6.4255640042732362E-2"/>
    <n v="213"/>
    <n v="2045"/>
    <x v="3"/>
    <x v="2"/>
    <x v="1"/>
  </r>
  <r>
    <s v="SP020"/>
    <x v="0"/>
    <d v="2024-07-05T00:00:00"/>
    <x v="0"/>
    <s v="Your weekend playlist is waiting."/>
    <n v="3753"/>
    <n v="411"/>
    <n v="308"/>
    <n v="29138"/>
    <n v="27678"/>
    <n v="90"/>
    <s v="#DiscoverWeekly"/>
    <m/>
    <n v="0.15347655981879332"/>
    <n v="35"/>
    <n v="4472"/>
    <x v="3"/>
    <x v="2"/>
    <x v="1"/>
  </r>
  <r>
    <s v="SP021"/>
    <x v="0"/>
    <d v="2024-11-07T00:00:00"/>
    <x v="1"/>
    <s v="Wrapped is here! Relive your top tracks "/>
    <n v="1678"/>
    <n v="423"/>
    <n v="323"/>
    <n v="55668"/>
    <n v="37945"/>
    <n v="230"/>
    <s v="#NowPlaying"/>
    <m/>
    <n v="4.3543867212761371E-2"/>
    <n v="271"/>
    <n v="2424"/>
    <x v="0"/>
    <x v="2"/>
    <x v="0"/>
  </r>
  <r>
    <s v="SP022"/>
    <x v="0"/>
    <d v="2025-06-15T00:00:00"/>
    <x v="0"/>
    <s v="What's your vibe today? #SpotifyHits"/>
    <n v="4896"/>
    <n v="466"/>
    <n v="233"/>
    <n v="28621"/>
    <n v="34270"/>
    <n v="84"/>
    <s v="#SoundtrackOfLife"/>
    <s v="#NowPlaying"/>
    <n v="0.19548583208133888"/>
    <n v="6"/>
    <n v="5595"/>
    <x v="0"/>
    <x v="0"/>
    <x v="0"/>
  </r>
  <r>
    <s v="SP023"/>
    <x v="2"/>
    <d v="2024-06-09T00:00:00"/>
    <x v="2"/>
    <s v="From pop to podcasts, it's all here."/>
    <n v="2786"/>
    <n v="368"/>
    <n v="208"/>
    <n v="42000"/>
    <n v="39967"/>
    <n v="103"/>
    <s v="#DiscoverWeekly"/>
    <s v="#SoundtrackOfLife"/>
    <n v="8.0047619047619048E-2"/>
    <n v="178"/>
    <n v="3362"/>
    <x v="0"/>
    <x v="2"/>
    <x v="0"/>
  </r>
  <r>
    <s v="SP024"/>
    <x v="1"/>
    <d v="2024-10-18T00:00:00"/>
    <x v="0"/>
    <s v="New music just dropped. Hit play!"/>
    <n v="2607"/>
    <n v="379"/>
    <n v="180"/>
    <n v="28712"/>
    <n v="61620"/>
    <n v="174"/>
    <s v="#SoundtrackOfLife"/>
    <m/>
    <n v="0.11026748397882419"/>
    <n v="83"/>
    <n v="3166"/>
    <x v="0"/>
    <x v="2"/>
    <x v="0"/>
  </r>
  <r>
    <s v="SP025"/>
    <x v="2"/>
    <d v="2024-10-10T00:00:00"/>
    <x v="2"/>
    <s v="From pop to podcasts, it's all here."/>
    <n v="4013"/>
    <n v="320"/>
    <n v="92"/>
    <n v="54605"/>
    <n v="60169"/>
    <n v="232"/>
    <s v="#DiscoverWeekly"/>
    <s v="#SoundtrackOfLife"/>
    <n v="8.1036535115831879E-2"/>
    <n v="174"/>
    <n v="4425"/>
    <x v="0"/>
    <x v="2"/>
    <x v="0"/>
  </r>
  <r>
    <s v="SP026"/>
    <x v="1"/>
    <d v="2025-05-14T00:00:00"/>
    <x v="1"/>
    <s v="From pop to podcasts, it's all here."/>
    <n v="2707"/>
    <n v="103"/>
    <n v="51"/>
    <n v="55302"/>
    <n v="18801"/>
    <n v="147"/>
    <s v="#DiscoverWeekly"/>
    <s v="#MusicForEveryone"/>
    <n v="5.173411449857148E-2"/>
    <n v="251"/>
    <n v="2861"/>
    <x v="0"/>
    <x v="0"/>
    <x v="0"/>
  </r>
  <r>
    <s v="SP027"/>
    <x v="0"/>
    <d v="2024-11-29T00:00:00"/>
    <x v="0"/>
    <s v="What's your vibe today? #SpotifyHits"/>
    <n v="2824"/>
    <n v="425"/>
    <n v="274"/>
    <n v="31004"/>
    <n v="53488"/>
    <n v="268"/>
    <s v="#SoundtrackOfLife"/>
    <s v="#NowPlaying"/>
    <n v="0.11363049929041415"/>
    <n v="73"/>
    <n v="3523"/>
    <x v="0"/>
    <x v="2"/>
    <x v="0"/>
  </r>
  <r>
    <s v="SP028"/>
    <x v="2"/>
    <d v="2024-03-05T00:00:00"/>
    <x v="2"/>
    <s v="Explore the latest podcasts now."/>
    <n v="3558"/>
    <n v="314"/>
    <n v="199"/>
    <n v="49612"/>
    <n v="53929"/>
    <n v="206"/>
    <s v="#DiscoverWeekly"/>
    <s v="#SoundtrackOfLife"/>
    <n v="8.205676046117874E-2"/>
    <n v="169"/>
    <n v="4071"/>
    <x v="0"/>
    <x v="2"/>
    <x v="0"/>
  </r>
  <r>
    <s v="SP029"/>
    <x v="1"/>
    <d v="2025-03-18T00:00:00"/>
    <x v="1"/>
    <s v="Explore the latest podcasts now."/>
    <n v="3418"/>
    <n v="188"/>
    <n v="387"/>
    <n v="57431"/>
    <n v="36933"/>
    <n v="202"/>
    <s v="#MusicForEveryone"/>
    <s v="#NowPlaying"/>
    <n v="6.9526910553533799E-2"/>
    <n v="203"/>
    <n v="3993"/>
    <x v="4"/>
    <x v="0"/>
    <x v="1"/>
  </r>
  <r>
    <s v="SP030"/>
    <x v="1"/>
    <d v="2025-04-26T00:00:00"/>
    <x v="0"/>
    <s v="Discover fresh beats on Spotify!"/>
    <n v="2411"/>
    <n v="194"/>
    <n v="168"/>
    <n v="26665"/>
    <n v="71699"/>
    <n v="197"/>
    <s v="#NowPlaying"/>
    <m/>
    <n v="0.10399399962497656"/>
    <n v="101"/>
    <n v="2773"/>
    <x v="0"/>
    <x v="0"/>
    <x v="0"/>
  </r>
  <r>
    <s v="SP031"/>
    <x v="0"/>
    <d v="2025-01-01T00:00:00"/>
    <x v="0"/>
    <s v="New music just dropped. Hit play!"/>
    <n v="4036"/>
    <n v="112"/>
    <n v="382"/>
    <n v="56284"/>
    <n v="29440"/>
    <n v="279"/>
    <s v="#SoundtrackOfLife"/>
    <s v="#NowPlaying"/>
    <n v="8.0484684812735408E-2"/>
    <n v="176"/>
    <n v="4530"/>
    <x v="0"/>
    <x v="2"/>
    <x v="0"/>
  </r>
  <r>
    <s v="SP032"/>
    <x v="1"/>
    <d v="2024-05-07T00:00:00"/>
    <x v="1"/>
    <s v="Explore the latest podcasts now."/>
    <n v="2776"/>
    <n v="307"/>
    <n v="178"/>
    <n v="43365"/>
    <n v="48408"/>
    <n v="138"/>
    <s v="#SoundtrackOfLife"/>
    <s v="#NowPlaying"/>
    <n v="7.519889311656866E-2"/>
    <n v="187"/>
    <n v="3261"/>
    <x v="0"/>
    <x v="2"/>
    <x v="0"/>
  </r>
  <r>
    <s v="SP033"/>
    <x v="1"/>
    <d v="2024-10-09T00:00:00"/>
    <x v="1"/>
    <s v="Discover fresh beats on Spotify!"/>
    <n v="4929"/>
    <n v="182"/>
    <n v="95"/>
    <n v="32181"/>
    <n v="31084"/>
    <n v="289"/>
    <s v="#DiscoverWeekly"/>
    <s v="#MusicForEveryone"/>
    <n v="0.16177247444144061"/>
    <n v="25"/>
    <n v="5206"/>
    <x v="0"/>
    <x v="2"/>
    <x v="0"/>
  </r>
  <r>
    <s v="SP034"/>
    <x v="0"/>
    <d v="2025-01-09T00:00:00"/>
    <x v="0"/>
    <s v="New music just dropped. Hit play!"/>
    <n v="1015"/>
    <n v="366"/>
    <n v="308"/>
    <n v="38127"/>
    <n v="63790"/>
    <n v="287"/>
    <s v="#SoundtrackOfLife"/>
    <s v="#NowPlaying"/>
    <n v="4.4299315445747112E-2"/>
    <n v="268"/>
    <n v="1689"/>
    <x v="0"/>
    <x v="2"/>
    <x v="0"/>
  </r>
  <r>
    <s v="SP035"/>
    <x v="1"/>
    <d v="2025-05-08T00:00:00"/>
    <x v="1"/>
    <s v="Your weekend playlist is waiting."/>
    <n v="3316"/>
    <n v="332"/>
    <n v="268"/>
    <n v="40095"/>
    <n v="36913"/>
    <n v="265"/>
    <s v="#MusicForEveryone"/>
    <s v="#NowPlaying"/>
    <n v="9.7668038408779148E-2"/>
    <n v="116"/>
    <n v="3916"/>
    <x v="0"/>
    <x v="0"/>
    <x v="0"/>
  </r>
  <r>
    <s v="SP036"/>
    <x v="0"/>
    <d v="2024-05-04T00:00:00"/>
    <x v="0"/>
    <s v="Wrapped is here! Relive your top tracks "/>
    <n v="2274"/>
    <n v="243"/>
    <n v="222"/>
    <n v="43066"/>
    <n v="59174"/>
    <n v="80"/>
    <s v="#DiscoverWeekly"/>
    <m/>
    <n v="6.3600055728416843E-2"/>
    <n v="215"/>
    <n v="2739"/>
    <x v="0"/>
    <x v="2"/>
    <x v="0"/>
  </r>
  <r>
    <s v="SP037"/>
    <x v="1"/>
    <d v="2025-05-27T00:00:00"/>
    <x v="1"/>
    <s v="Explore the latest podcasts now."/>
    <n v="4095"/>
    <n v="385"/>
    <n v="400"/>
    <n v="45300"/>
    <n v="31795"/>
    <n v="80"/>
    <s v="#MusicForEveryone"/>
    <s v="#NowPlaying"/>
    <n v="0.10772626931567329"/>
    <n v="89"/>
    <n v="4880"/>
    <x v="0"/>
    <x v="0"/>
    <x v="0"/>
  </r>
  <r>
    <s v="SP038"/>
    <x v="0"/>
    <d v="2024-09-10T00:00:00"/>
    <x v="1"/>
    <s v="New music just dropped. Hit play!"/>
    <n v="1230"/>
    <n v="309"/>
    <n v="207"/>
    <n v="44629"/>
    <n v="40699"/>
    <n v="195"/>
    <s v="#NowPlaying"/>
    <m/>
    <n v="3.9122543637545096E-2"/>
    <n v="280"/>
    <n v="1746"/>
    <x v="0"/>
    <x v="2"/>
    <x v="0"/>
  </r>
  <r>
    <s v="SP039"/>
    <x v="0"/>
    <d v="2024-11-25T00:00:00"/>
    <x v="0"/>
    <s v="From pop to podcasts, it's all here."/>
    <n v="1341"/>
    <n v="472"/>
    <n v="238"/>
    <n v="51386"/>
    <n v="51706"/>
    <n v="133"/>
    <s v="#DiscoverWeekly"/>
    <m/>
    <n v="3.9913595142645857E-2"/>
    <n v="277"/>
    <n v="2051"/>
    <x v="0"/>
    <x v="2"/>
    <x v="0"/>
  </r>
  <r>
    <s v="SP040"/>
    <x v="1"/>
    <d v="2025-06-10T00:00:00"/>
    <x v="0"/>
    <s v="Explore the latest podcasts now."/>
    <n v="3615"/>
    <n v="192"/>
    <n v="162"/>
    <n v="27492"/>
    <n v="35341"/>
    <n v="125"/>
    <s v="#NowPlaying"/>
    <m/>
    <n v="0.14436927106067218"/>
    <n v="42"/>
    <n v="3969"/>
    <x v="0"/>
    <x v="0"/>
    <x v="0"/>
  </r>
  <r>
    <s v="SP041"/>
    <x v="0"/>
    <d v="2024-04-19T00:00:00"/>
    <x v="0"/>
    <s v="New music just dropped. Hit play!"/>
    <n v="4001"/>
    <n v="353"/>
    <n v="129"/>
    <n v="41265"/>
    <n v="37279"/>
    <n v="275"/>
    <s v="#SoundtrackOfLife"/>
    <s v="#NowPlaying"/>
    <n v="0.10863928268508422"/>
    <n v="87"/>
    <n v="4483"/>
    <x v="0"/>
    <x v="2"/>
    <x v="0"/>
  </r>
  <r>
    <s v="SP042"/>
    <x v="0"/>
    <d v="2025-01-26T00:00:00"/>
    <x v="1"/>
    <s v="What's your vibe today? #SpotifyHits"/>
    <n v="3451"/>
    <n v="363"/>
    <n v="393"/>
    <n v="44853"/>
    <n v="69032"/>
    <n v="211"/>
    <s v="#NowPlaying"/>
    <m/>
    <n v="9.379528682585335E-2"/>
    <n v="128"/>
    <n v="4207"/>
    <x v="1"/>
    <x v="1"/>
    <x v="1"/>
  </r>
  <r>
    <s v="SP043"/>
    <x v="0"/>
    <d v="2025-02-14T00:00:00"/>
    <x v="0"/>
    <s v="Top trending tracks updated daily!"/>
    <n v="4891"/>
    <n v="450"/>
    <n v="387"/>
    <n v="48746"/>
    <n v="37312"/>
    <n v="154"/>
    <s v="#SoundtrackOfLife"/>
    <s v="#NowPlaying"/>
    <n v="0.11750707750379519"/>
    <n v="66"/>
    <n v="5728"/>
    <x v="0"/>
    <x v="0"/>
    <x v="0"/>
  </r>
  <r>
    <s v="SP044"/>
    <x v="0"/>
    <d v="2024-09-06T00:00:00"/>
    <x v="0"/>
    <s v="New music just dropped. Hit play!"/>
    <n v="1452"/>
    <n v="281"/>
    <n v="326"/>
    <n v="51556"/>
    <n v="62599"/>
    <n v="290"/>
    <s v="#DiscoverWeekly"/>
    <m/>
    <n v="3.9937155714174881E-2"/>
    <n v="276"/>
    <n v="2059"/>
    <x v="0"/>
    <x v="2"/>
    <x v="0"/>
  </r>
  <r>
    <s v="SP045"/>
    <x v="2"/>
    <d v="2024-07-14T00:00:00"/>
    <x v="0"/>
    <s v="Your weekend playlist is waiting."/>
    <n v="3806"/>
    <n v="114"/>
    <n v="278"/>
    <n v="36148"/>
    <n v="24209"/>
    <n v="201"/>
    <s v="#DiscoverWeekly"/>
    <s v="#SpotifyWrapped"/>
    <n v="0.11613367267898639"/>
    <n v="70"/>
    <n v="4198"/>
    <x v="3"/>
    <x v="2"/>
    <x v="1"/>
  </r>
  <r>
    <s v="SP046"/>
    <x v="0"/>
    <d v="2024-02-12T00:00:00"/>
    <x v="0"/>
    <s v="Explore the latest podcasts now."/>
    <n v="2923"/>
    <n v="330"/>
    <n v="250"/>
    <n v="23993"/>
    <n v="74590"/>
    <n v="92"/>
    <s v="#DiscoverWeekly"/>
    <m/>
    <n v="0.14600091693410577"/>
    <n v="40"/>
    <n v="3503"/>
    <x v="0"/>
    <x v="2"/>
    <x v="0"/>
  </r>
  <r>
    <s v="SP047"/>
    <x v="2"/>
    <d v="2024-03-14T00:00:00"/>
    <x v="2"/>
    <s v="From pop to podcasts, it's all here."/>
    <n v="3361"/>
    <n v="188"/>
    <n v="358"/>
    <n v="39838"/>
    <n v="24536"/>
    <n v="120"/>
    <s v="#DiscoverWeekly"/>
    <s v="#SoundtrackOfLife"/>
    <n v="9.8072192379135503E-2"/>
    <n v="113"/>
    <n v="3907"/>
    <x v="0"/>
    <x v="2"/>
    <x v="0"/>
  </r>
  <r>
    <s v="SP048"/>
    <x v="0"/>
    <d v="2025-02-05T00:00:00"/>
    <x v="1"/>
    <s v="Music that moves you-only on Spotify."/>
    <n v="3074"/>
    <n v="371"/>
    <n v="348"/>
    <n v="24104"/>
    <n v="57803"/>
    <n v="213"/>
    <s v="#NowPlaying"/>
    <m/>
    <n v="0.15735977431131762"/>
    <n v="30"/>
    <n v="3793"/>
    <x v="1"/>
    <x v="1"/>
    <x v="1"/>
  </r>
  <r>
    <s v="SP049"/>
    <x v="1"/>
    <d v="2024-08-29T00:00:00"/>
    <x v="1"/>
    <s v="Get into the groove with our new drop!"/>
    <n v="4276"/>
    <n v="227"/>
    <n v="223"/>
    <n v="43443"/>
    <n v="41005"/>
    <n v="191"/>
    <s v="#DiscoverWeekly"/>
    <s v="#MusicForEveryone"/>
    <n v="0.1087862256289851"/>
    <n v="86"/>
    <n v="4726"/>
    <x v="0"/>
    <x v="2"/>
    <x v="0"/>
  </r>
  <r>
    <s v="SP050"/>
    <x v="1"/>
    <d v="2025-04-22T00:00:00"/>
    <x v="0"/>
    <s v="Discover fresh beats on Spotify!"/>
    <n v="4401"/>
    <n v="421"/>
    <n v="216"/>
    <n v="24890"/>
    <n v="54361"/>
    <n v="148"/>
    <s v="#NowPlaying"/>
    <m/>
    <n v="0.20241060666934513"/>
    <n v="5"/>
    <n v="5038"/>
    <x v="0"/>
    <x v="0"/>
    <x v="0"/>
  </r>
  <r>
    <s v="SP051"/>
    <x v="2"/>
    <d v="2024-05-13T00:00:00"/>
    <x v="2"/>
    <s v="Explore the latest podcasts now."/>
    <n v="4161"/>
    <n v="481"/>
    <n v="61"/>
    <n v="45884"/>
    <n v="48955"/>
    <n v="215"/>
    <s v="#DiscoverWeekly"/>
    <s v="#SoundtrackOfLife"/>
    <n v="0.10249760265016128"/>
    <n v="104"/>
    <n v="4703"/>
    <x v="0"/>
    <x v="2"/>
    <x v="0"/>
  </r>
  <r>
    <s v="SP052"/>
    <x v="1"/>
    <d v="2024-09-04T00:00:00"/>
    <x v="1"/>
    <s v="New music just dropped. Hit play!"/>
    <n v="2613"/>
    <n v="455"/>
    <n v="228"/>
    <n v="21645"/>
    <n v="61334"/>
    <n v="261"/>
    <s v="#DiscoverWeekly"/>
    <s v="#MusicForEveryone"/>
    <n v="0.15227535227535227"/>
    <n v="36"/>
    <n v="3296"/>
    <x v="0"/>
    <x v="2"/>
    <x v="0"/>
  </r>
  <r>
    <s v="SP053"/>
    <x v="1"/>
    <d v="2024-08-12T00:00:00"/>
    <x v="1"/>
    <s v="What's your vibe today? #SpotifyHits"/>
    <n v="2842"/>
    <n v="213"/>
    <n v="331"/>
    <n v="57660"/>
    <n v="68606"/>
    <n v="87"/>
    <s v="#MusicForEveryone"/>
    <s v="#NowPlaying"/>
    <n v="5.8723551855705859E-2"/>
    <n v="228"/>
    <n v="3386"/>
    <x v="0"/>
    <x v="2"/>
    <x v="0"/>
  </r>
  <r>
    <s v="SP054"/>
    <x v="0"/>
    <d v="2025-03-06T00:00:00"/>
    <x v="0"/>
    <s v="Get into the groove with our new drop!"/>
    <n v="4851"/>
    <n v="460"/>
    <n v="212"/>
    <n v="58075"/>
    <n v="59574"/>
    <n v="239"/>
    <s v="#DiscoverWeekly"/>
    <m/>
    <n v="9.5101162290142052E-2"/>
    <n v="119"/>
    <n v="5523"/>
    <x v="4"/>
    <x v="0"/>
    <x v="1"/>
  </r>
  <r>
    <s v="SP055"/>
    <x v="1"/>
    <d v="2024-05-08T00:00:00"/>
    <x v="0"/>
    <s v="Explore the latest podcasts now."/>
    <n v="1828"/>
    <n v="450"/>
    <n v="214"/>
    <n v="52115"/>
    <n v="19166"/>
    <n v="190"/>
    <s v="#NowPlaying"/>
    <m/>
    <n v="4.781732706514439E-2"/>
    <n v="259"/>
    <n v="2492"/>
    <x v="0"/>
    <x v="2"/>
    <x v="0"/>
  </r>
  <r>
    <s v="SP056"/>
    <x v="0"/>
    <d v="2025-02-19T00:00:00"/>
    <x v="1"/>
    <s v="From pop to podcasts, it's all here."/>
    <n v="2422"/>
    <n v="455"/>
    <n v="376"/>
    <n v="23428"/>
    <n v="46775"/>
    <n v="259"/>
    <s v="#NowPlaying"/>
    <m/>
    <n v="0.13885094758408742"/>
    <n v="48"/>
    <n v="3253"/>
    <x v="0"/>
    <x v="0"/>
    <x v="0"/>
  </r>
  <r>
    <s v="SP057"/>
    <x v="0"/>
    <d v="2024-01-08T00:00:00"/>
    <x v="0"/>
    <s v="Top trending tracks updated daily!"/>
    <n v="2683"/>
    <n v="405"/>
    <n v="223"/>
    <n v="31233"/>
    <n v="58106"/>
    <n v="291"/>
    <s v="#DiscoverWeekly"/>
    <m/>
    <n v="0.10600966926007749"/>
    <n v="95"/>
    <n v="3311"/>
    <x v="0"/>
    <x v="2"/>
    <x v="0"/>
  </r>
  <r>
    <s v="SP058"/>
    <x v="2"/>
    <d v="2024-07-17T00:00:00"/>
    <x v="0"/>
    <s v="Top trending tracks updated daily!"/>
    <n v="3135"/>
    <n v="110"/>
    <n v="215"/>
    <n v="39192"/>
    <n v="24744"/>
    <n v="177"/>
    <s v="#DiscoverWeekly"/>
    <s v="#SpotifyWrapped"/>
    <n v="8.8283323127168814E-2"/>
    <n v="141"/>
    <n v="3460"/>
    <x v="0"/>
    <x v="2"/>
    <x v="0"/>
  </r>
  <r>
    <s v="SP059"/>
    <x v="2"/>
    <d v="2024-08-10T00:00:00"/>
    <x v="0"/>
    <s v="From pop to podcasts, it's all here."/>
    <n v="1105"/>
    <n v="181"/>
    <n v="55"/>
    <n v="53581"/>
    <n v="74048"/>
    <n v="220"/>
    <s v="#DiscoverWeekly"/>
    <s v="#SpotifyWrapped"/>
    <n v="2.50275284149232E-2"/>
    <n v="300"/>
    <n v="1341"/>
    <x v="0"/>
    <x v="2"/>
    <x v="0"/>
  </r>
  <r>
    <s v="SP060"/>
    <x v="2"/>
    <d v="2024-04-16T00:00:00"/>
    <x v="0"/>
    <s v="Discover fresh beats on Spotify!"/>
    <n v="4674"/>
    <n v="326"/>
    <n v="62"/>
    <n v="45503"/>
    <n v="46814"/>
    <n v="116"/>
    <s v="#DiscoverWeekly"/>
    <s v="#SpotifyWrapped"/>
    <n v="0.11124541239039185"/>
    <n v="79"/>
    <n v="5062"/>
    <x v="0"/>
    <x v="2"/>
    <x v="0"/>
  </r>
  <r>
    <s v="SP061"/>
    <x v="2"/>
    <d v="2024-01-01T00:00:00"/>
    <x v="2"/>
    <s v="Explore the latest podcasts now."/>
    <n v="3437"/>
    <n v="129"/>
    <n v="359"/>
    <n v="44558"/>
    <n v="30854"/>
    <n v="171"/>
    <s v="#DiscoverWeekly"/>
    <s v="#SoundtrackOfLife"/>
    <n v="8.8087436599488311E-2"/>
    <n v="143"/>
    <n v="3925"/>
    <x v="0"/>
    <x v="2"/>
    <x v="0"/>
  </r>
  <r>
    <s v="SP062"/>
    <x v="1"/>
    <d v="2024-11-03T00:00:00"/>
    <x v="1"/>
    <s v="Wrapped is here! Relive your top tracks "/>
    <n v="1959"/>
    <n v="316"/>
    <n v="82"/>
    <n v="54036"/>
    <n v="69015"/>
    <n v="182"/>
    <s v="#MusicForEveryone"/>
    <s v="#NowPlaying"/>
    <n v="4.3619068768968837E-2"/>
    <n v="270"/>
    <n v="2357"/>
    <x v="0"/>
    <x v="2"/>
    <x v="0"/>
  </r>
  <r>
    <s v="SP063"/>
    <x v="1"/>
    <d v="2024-07-07T00:00:00"/>
    <x v="0"/>
    <s v="New music just dropped. Hit play!"/>
    <n v="1035"/>
    <n v="137"/>
    <n v="184"/>
    <n v="37302"/>
    <n v="68953"/>
    <n v="237"/>
    <s v="#SoundtrackOfLife"/>
    <m/>
    <n v="3.6351938233874857E-2"/>
    <n v="282"/>
    <n v="1356"/>
    <x v="3"/>
    <x v="2"/>
    <x v="1"/>
  </r>
  <r>
    <s v="SP064"/>
    <x v="1"/>
    <d v="2025-01-22T00:00:00"/>
    <x v="1"/>
    <s v="New music just dropped. Hit play!"/>
    <n v="4478"/>
    <n v="101"/>
    <n v="121"/>
    <n v="51035"/>
    <n v="58207"/>
    <n v="205"/>
    <s v="#MusicForEveryone"/>
    <s v="#NowPlaying"/>
    <n v="9.2093661212893113E-2"/>
    <n v="135"/>
    <n v="4700"/>
    <x v="1"/>
    <x v="1"/>
    <x v="1"/>
  </r>
  <r>
    <s v="SP065"/>
    <x v="2"/>
    <d v="2024-05-26T00:00:00"/>
    <x v="0"/>
    <s v="From pop to podcasts, it's all here."/>
    <n v="1488"/>
    <n v="327"/>
    <n v="110"/>
    <n v="53805"/>
    <n v="30239"/>
    <n v="109"/>
    <s v="#DiscoverWeekly"/>
    <s v="#SpotifyWrapped"/>
    <n v="3.5777344113000653E-2"/>
    <n v="285"/>
    <n v="1925"/>
    <x v="0"/>
    <x v="2"/>
    <x v="0"/>
  </r>
  <r>
    <s v="SP066"/>
    <x v="0"/>
    <d v="2025-04-16T00:00:00"/>
    <x v="0"/>
    <s v="Wrapped is here! Relive your top tracks "/>
    <n v="4836"/>
    <n v="331"/>
    <n v="140"/>
    <n v="58792"/>
    <n v="47711"/>
    <n v="227"/>
    <s v="#SoundtrackOfLife"/>
    <s v="#NowPlaying"/>
    <n v="9.0267383317458164E-2"/>
    <n v="138"/>
    <n v="5307"/>
    <x v="0"/>
    <x v="0"/>
    <x v="0"/>
  </r>
  <r>
    <s v="SP067"/>
    <x v="2"/>
    <d v="2024-04-02T00:00:00"/>
    <x v="2"/>
    <s v="Your weekend playlist is waiting."/>
    <n v="4563"/>
    <n v="488"/>
    <n v="356"/>
    <n v="30619"/>
    <n v="23328"/>
    <n v="267"/>
    <s v="#DiscoverWeekly"/>
    <s v="#SoundtrackOfLife"/>
    <n v="0.17658969920637513"/>
    <n v="14"/>
    <n v="5407"/>
    <x v="0"/>
    <x v="2"/>
    <x v="0"/>
  </r>
  <r>
    <s v="SP068"/>
    <x v="1"/>
    <d v="2024-03-28T00:00:00"/>
    <x v="0"/>
    <s v="Music that moves you-only on Spotify."/>
    <n v="3276"/>
    <n v="421"/>
    <n v="114"/>
    <n v="20580"/>
    <n v="30324"/>
    <n v="221"/>
    <s v="#SoundtrackOfLife"/>
    <m/>
    <n v="0.18517978620019437"/>
    <n v="10"/>
    <n v="3811"/>
    <x v="0"/>
    <x v="2"/>
    <x v="0"/>
  </r>
  <r>
    <s v="SP069"/>
    <x v="1"/>
    <d v="2024-12-17T00:00:00"/>
    <x v="1"/>
    <s v="Music that moves you-only on Spotify."/>
    <n v="1316"/>
    <n v="472"/>
    <n v="286"/>
    <n v="44692"/>
    <n v="53343"/>
    <n v="227"/>
    <s v="#DiscoverWeekly"/>
    <s v="#MusicForEveryone"/>
    <n v="4.6406515707509172E-2"/>
    <n v="263"/>
    <n v="2074"/>
    <x v="2"/>
    <x v="2"/>
    <x v="1"/>
  </r>
  <r>
    <s v="SP070"/>
    <x v="1"/>
    <d v="2025-01-05T00:00:00"/>
    <x v="0"/>
    <s v="Wrapped is here! Relive your top tracks "/>
    <n v="4811"/>
    <n v="473"/>
    <n v="254"/>
    <n v="51964"/>
    <n v="68795"/>
    <n v="107"/>
    <s v="#NowPlaying"/>
    <m/>
    <n v="0.10657378184897237"/>
    <n v="93"/>
    <n v="5538"/>
    <x v="0"/>
    <x v="2"/>
    <x v="0"/>
  </r>
  <r>
    <s v="SP071"/>
    <x v="1"/>
    <d v="2024-01-11T00:00:00"/>
    <x v="0"/>
    <s v="What's your vibe today? #SpotifyHits"/>
    <n v="4218"/>
    <n v="247"/>
    <n v="183"/>
    <n v="28914"/>
    <n v="18310"/>
    <n v="135"/>
    <s v="#SoundtrackOfLife"/>
    <m/>
    <n v="0.1607525766064882"/>
    <n v="28"/>
    <n v="4648"/>
    <x v="0"/>
    <x v="2"/>
    <x v="0"/>
  </r>
  <r>
    <s v="SP072"/>
    <x v="0"/>
    <d v="2024-10-11T00:00:00"/>
    <x v="0"/>
    <s v="From pop to podcasts, it's all here."/>
    <n v="1360"/>
    <n v="249"/>
    <n v="52"/>
    <n v="20368"/>
    <n v="42152"/>
    <n v="193"/>
    <s v="#DiscoverWeekly"/>
    <m/>
    <n v="8.1549489395129612E-2"/>
    <n v="171"/>
    <n v="1661"/>
    <x v="0"/>
    <x v="2"/>
    <x v="0"/>
  </r>
  <r>
    <s v="SP073"/>
    <x v="2"/>
    <d v="2025-05-06T00:00:00"/>
    <x v="2"/>
    <s v="Discover fresh beats on Spotify!"/>
    <n v="1085"/>
    <n v="496"/>
    <n v="320"/>
    <n v="36528"/>
    <n v="38599"/>
    <n v="270"/>
    <s v="#DiscoverWeekly"/>
    <s v="#SoundtrackOfLife"/>
    <n v="5.2042268944371438E-2"/>
    <n v="247"/>
    <n v="1901"/>
    <x v="0"/>
    <x v="0"/>
    <x v="0"/>
  </r>
  <r>
    <s v="SP074"/>
    <x v="1"/>
    <d v="2024-05-19T00:00:00"/>
    <x v="1"/>
    <s v="Get into the groove with our new drop!"/>
    <n v="1763"/>
    <n v="206"/>
    <n v="187"/>
    <n v="53342"/>
    <n v="25095"/>
    <n v="88"/>
    <s v="#DiscoverWeekly"/>
    <s v="#MusicForEveryone"/>
    <n v="4.0418432004799221E-2"/>
    <n v="274"/>
    <n v="2156"/>
    <x v="0"/>
    <x v="2"/>
    <x v="0"/>
  </r>
  <r>
    <s v="SP075"/>
    <x v="1"/>
    <d v="2024-01-22T00:00:00"/>
    <x v="1"/>
    <s v="From pop to podcasts, it's all here."/>
    <n v="1554"/>
    <n v="455"/>
    <n v="158"/>
    <n v="41947"/>
    <n v="48578"/>
    <n v="101"/>
    <s v="#SoundtrackOfLife"/>
    <s v="#NowPlaying"/>
    <n v="5.1660428636136076E-2"/>
    <n v="252"/>
    <n v="2167"/>
    <x v="0"/>
    <x v="2"/>
    <x v="0"/>
  </r>
  <r>
    <s v="SP076"/>
    <x v="0"/>
    <d v="2024-07-14T00:00:00"/>
    <x v="0"/>
    <s v="Wrapped is here! Relive your top tracks "/>
    <n v="2464"/>
    <n v="401"/>
    <n v="78"/>
    <n v="38665"/>
    <n v="73593"/>
    <n v="207"/>
    <s v="#DiscoverWeekly"/>
    <m/>
    <n v="7.611534979956032E-2"/>
    <n v="186"/>
    <n v="2943"/>
    <x v="3"/>
    <x v="2"/>
    <x v="1"/>
  </r>
  <r>
    <s v="SP077"/>
    <x v="1"/>
    <d v="2025-05-28T00:00:00"/>
    <x v="0"/>
    <s v="From pop to podcasts, it's all here."/>
    <n v="2418"/>
    <n v="161"/>
    <n v="360"/>
    <n v="30589"/>
    <n v="41383"/>
    <n v="88"/>
    <s v="#NowPlaying"/>
    <m/>
    <n v="9.6080290300434801E-2"/>
    <n v="118"/>
    <n v="2939"/>
    <x v="0"/>
    <x v="0"/>
    <x v="0"/>
  </r>
  <r>
    <s v="SP078"/>
    <x v="1"/>
    <d v="2025-01-21T00:00:00"/>
    <x v="1"/>
    <s v="Discover fresh beats on Spotify!"/>
    <n v="2494"/>
    <n v="494"/>
    <n v="55"/>
    <n v="22580"/>
    <n v="22214"/>
    <n v="109"/>
    <s v="#MusicForEveryone"/>
    <s v="#NowPlaying"/>
    <n v="0.13476527900797167"/>
    <n v="51"/>
    <n v="3043"/>
    <x v="1"/>
    <x v="1"/>
    <x v="1"/>
  </r>
  <r>
    <s v="SP079"/>
    <x v="2"/>
    <d v="2024-01-13T00:00:00"/>
    <x v="2"/>
    <s v="New music just dropped. Hit play!"/>
    <n v="4781"/>
    <n v="191"/>
    <n v="122"/>
    <n v="35535"/>
    <n v="50777"/>
    <n v="128"/>
    <s v="#DiscoverWeekly"/>
    <s v="#SoundtrackOfLife"/>
    <n v="0.14335162515829464"/>
    <n v="44"/>
    <n v="5094"/>
    <x v="0"/>
    <x v="2"/>
    <x v="0"/>
  </r>
  <r>
    <s v="SP080"/>
    <x v="0"/>
    <d v="2025-06-17T00:00:00"/>
    <x v="0"/>
    <s v="Music that moves you-only on Spotify."/>
    <n v="2284"/>
    <n v="187"/>
    <n v="260"/>
    <n v="37400"/>
    <n v="65014"/>
    <n v="157"/>
    <s v="#SoundtrackOfLife"/>
    <s v="#NowPlaying"/>
    <n v="7.3021390374331557E-2"/>
    <n v="194"/>
    <n v="2731"/>
    <x v="0"/>
    <x v="0"/>
    <x v="0"/>
  </r>
  <r>
    <s v="SP081"/>
    <x v="1"/>
    <d v="2025-03-07T00:00:00"/>
    <x v="0"/>
    <s v="Get into the groove with our new drop!"/>
    <n v="4234"/>
    <n v="486"/>
    <n v="276"/>
    <n v="56623"/>
    <n v="41343"/>
    <n v="184"/>
    <s v="#SoundtrackOfLife"/>
    <m/>
    <n v="8.8232696960599044E-2"/>
    <n v="142"/>
    <n v="4996"/>
    <x v="4"/>
    <x v="0"/>
    <x v="1"/>
  </r>
  <r>
    <s v="SP082"/>
    <x v="0"/>
    <d v="2024-08-26T00:00:00"/>
    <x v="0"/>
    <s v="Your weekend playlist is waiting."/>
    <n v="2102"/>
    <n v="181"/>
    <n v="306"/>
    <n v="43650"/>
    <n v="50079"/>
    <n v="182"/>
    <s v="#DiscoverWeekly"/>
    <m/>
    <n v="5.9312714776632303E-2"/>
    <n v="226"/>
    <n v="2589"/>
    <x v="0"/>
    <x v="2"/>
    <x v="0"/>
  </r>
  <r>
    <s v="SP083"/>
    <x v="1"/>
    <d v="2025-01-03T00:00:00"/>
    <x v="1"/>
    <s v="Get into the groove with our new drop!"/>
    <n v="4845"/>
    <n v="158"/>
    <n v="84"/>
    <n v="34578"/>
    <n v="51480"/>
    <n v="180"/>
    <s v="#SoundtrackOfLife"/>
    <s v="#NowPlaying"/>
    <n v="0.1471166637746544"/>
    <n v="38"/>
    <n v="5087"/>
    <x v="0"/>
    <x v="2"/>
    <x v="0"/>
  </r>
  <r>
    <s v="SP084"/>
    <x v="1"/>
    <d v="2024-08-03T00:00:00"/>
    <x v="0"/>
    <s v="Your weekend playlist is waiting."/>
    <n v="4247"/>
    <n v="390"/>
    <n v="213"/>
    <n v="29785"/>
    <n v="57768"/>
    <n v="122"/>
    <s v="#NowPlaying"/>
    <m/>
    <n v="0.16283364109451065"/>
    <n v="24"/>
    <n v="4850"/>
    <x v="0"/>
    <x v="2"/>
    <x v="0"/>
  </r>
  <r>
    <s v="SP085"/>
    <x v="0"/>
    <d v="2024-08-18T00:00:00"/>
    <x v="0"/>
    <s v="Explore the latest podcasts now."/>
    <n v="2965"/>
    <n v="328"/>
    <n v="171"/>
    <n v="57685"/>
    <n v="67536"/>
    <n v="264"/>
    <s v="#SoundtrackOfLife"/>
    <s v="#NowPlaying"/>
    <n v="6.0050273034584378E-2"/>
    <n v="223"/>
    <n v="3464"/>
    <x v="0"/>
    <x v="2"/>
    <x v="0"/>
  </r>
  <r>
    <s v="SP086"/>
    <x v="1"/>
    <d v="2025-05-14T00:00:00"/>
    <x v="1"/>
    <s v="Wrapped is here! Relive your top tracks "/>
    <n v="1371"/>
    <n v="139"/>
    <n v="96"/>
    <n v="36140"/>
    <n v="39395"/>
    <n v="169"/>
    <s v="#SoundtrackOfLife"/>
    <s v="#NowPlaying"/>
    <n v="4.4438295517432211E-2"/>
    <n v="267"/>
    <n v="1606"/>
    <x v="0"/>
    <x v="0"/>
    <x v="0"/>
  </r>
  <r>
    <s v="SP087"/>
    <x v="1"/>
    <d v="2024-04-23T00:00:00"/>
    <x v="1"/>
    <s v="Discover fresh beats on Spotify!"/>
    <n v="2683"/>
    <n v="496"/>
    <n v="89"/>
    <n v="53435"/>
    <n v="30334"/>
    <n v="160"/>
    <s v="#SoundtrackOfLife"/>
    <s v="#NowPlaying"/>
    <n v="6.1158416768035934E-2"/>
    <n v="220"/>
    <n v="3268"/>
    <x v="0"/>
    <x v="2"/>
    <x v="0"/>
  </r>
  <r>
    <s v="SP088"/>
    <x v="1"/>
    <d v="2025-02-17T00:00:00"/>
    <x v="1"/>
    <s v="What's your vibe today? #SpotifyHits"/>
    <n v="4796"/>
    <n v="427"/>
    <n v="339"/>
    <n v="30752"/>
    <n v="33870"/>
    <n v="298"/>
    <s v="#SoundtrackOfLife"/>
    <s v="#NowPlaying"/>
    <n v="0.18086628511966701"/>
    <n v="11"/>
    <n v="5562"/>
    <x v="0"/>
    <x v="0"/>
    <x v="0"/>
  </r>
  <r>
    <s v="SP089"/>
    <x v="0"/>
    <d v="2024-12-04T00:00:00"/>
    <x v="0"/>
    <s v="Wrapped is here! Relive your top tracks "/>
    <n v="2601"/>
    <n v="336"/>
    <n v="260"/>
    <n v="32368"/>
    <n v="49028"/>
    <n v="120"/>
    <s v="#SoundtrackOfLife"/>
    <s v="#NowPlaying"/>
    <n v="9.8770390509144837E-2"/>
    <n v="109"/>
    <n v="3197"/>
    <x v="2"/>
    <x v="2"/>
    <x v="1"/>
  </r>
  <r>
    <s v="SP090"/>
    <x v="1"/>
    <d v="2024-07-22T00:00:00"/>
    <x v="1"/>
    <s v="Wrapped is here! Relive your top tracks "/>
    <n v="3336"/>
    <n v="229"/>
    <n v="337"/>
    <n v="22117"/>
    <n v="26205"/>
    <n v="160"/>
    <s v="#MusicForEveryone"/>
    <s v="#NowPlaying"/>
    <n v="0.17642537414658407"/>
    <n v="15"/>
    <n v="3902"/>
    <x v="0"/>
    <x v="2"/>
    <x v="0"/>
  </r>
  <r>
    <s v="SP091"/>
    <x v="1"/>
    <d v="2025-04-27T00:00:00"/>
    <x v="0"/>
    <s v="Explore the latest podcasts now."/>
    <n v="1165"/>
    <n v="294"/>
    <n v="163"/>
    <n v="20659"/>
    <n v="45926"/>
    <n v="111"/>
    <s v="#SoundtrackOfLife"/>
    <m/>
    <n v="7.8512996756861422E-2"/>
    <n v="182"/>
    <n v="1622"/>
    <x v="0"/>
    <x v="0"/>
    <x v="0"/>
  </r>
  <r>
    <s v="SP092"/>
    <x v="2"/>
    <d v="2024-03-25T00:00:00"/>
    <x v="2"/>
    <s v="Explore the latest podcasts now."/>
    <n v="1948"/>
    <n v="155"/>
    <n v="315"/>
    <n v="30321"/>
    <n v="57121"/>
    <n v="82"/>
    <s v="#DiscoverWeekly"/>
    <s v="#SoundtrackOfLife"/>
    <n v="7.974671020085089E-2"/>
    <n v="181"/>
    <n v="2418"/>
    <x v="0"/>
    <x v="2"/>
    <x v="0"/>
  </r>
  <r>
    <s v="SP093"/>
    <x v="0"/>
    <d v="2024-02-29T00:00:00"/>
    <x v="0"/>
    <s v="From pop to podcasts, it's all here."/>
    <n v="1100"/>
    <n v="229"/>
    <n v="312"/>
    <n v="25641"/>
    <n v="34601"/>
    <n v="169"/>
    <s v="#DiscoverWeekly"/>
    <m/>
    <n v="6.3999063999063993E-2"/>
    <n v="214"/>
    <n v="1641"/>
    <x v="0"/>
    <x v="2"/>
    <x v="0"/>
  </r>
  <r>
    <s v="SP094"/>
    <x v="1"/>
    <d v="2024-11-13T00:00:00"/>
    <x v="1"/>
    <s v="Top trending tracks updated daily!"/>
    <n v="4628"/>
    <n v="257"/>
    <n v="397"/>
    <n v="36686"/>
    <n v="54683"/>
    <n v="98"/>
    <s v="#SoundtrackOfLife"/>
    <s v="#NowPlaying"/>
    <n v="0.1439786294499264"/>
    <n v="43"/>
    <n v="5282"/>
    <x v="0"/>
    <x v="2"/>
    <x v="0"/>
  </r>
  <r>
    <s v="SP095"/>
    <x v="0"/>
    <d v="2024-03-22T00:00:00"/>
    <x v="1"/>
    <s v="Discover fresh beats on Spotify!"/>
    <n v="2319"/>
    <n v="484"/>
    <n v="193"/>
    <n v="21202"/>
    <n v="18091"/>
    <n v="241"/>
    <s v="#NowPlaying"/>
    <m/>
    <n v="0.14130742382794076"/>
    <n v="45"/>
    <n v="2996"/>
    <x v="0"/>
    <x v="2"/>
    <x v="0"/>
  </r>
  <r>
    <s v="SP096"/>
    <x v="1"/>
    <d v="2024-03-16T00:00:00"/>
    <x v="1"/>
    <s v="Wrapped is here! Relive your top tracks "/>
    <n v="2895"/>
    <n v="292"/>
    <n v="90"/>
    <n v="24223"/>
    <n v="54626"/>
    <n v="114"/>
    <s v="#SoundtrackOfLife"/>
    <s v="#NowPlaying"/>
    <n v="0.13528464682326713"/>
    <n v="50"/>
    <n v="3277"/>
    <x v="0"/>
    <x v="2"/>
    <x v="0"/>
  </r>
  <r>
    <s v="SP097"/>
    <x v="0"/>
    <d v="2024-01-26T00:00:00"/>
    <x v="0"/>
    <s v="What's your vibe today? #SpotifyHits"/>
    <n v="3878"/>
    <n v="431"/>
    <n v="97"/>
    <n v="41763"/>
    <n v="29729"/>
    <n v="191"/>
    <s v="#DiscoverWeekly"/>
    <m/>
    <n v="0.10550008380623997"/>
    <n v="96"/>
    <n v="4406"/>
    <x v="0"/>
    <x v="2"/>
    <x v="0"/>
  </r>
  <r>
    <s v="SP098"/>
    <x v="1"/>
    <d v="2024-03-15T00:00:00"/>
    <x v="1"/>
    <s v="Get into the groove with our new drop!"/>
    <n v="4969"/>
    <n v="433"/>
    <n v="237"/>
    <n v="59552"/>
    <n v="23885"/>
    <n v="157"/>
    <s v="#DiscoverWeekly"/>
    <s v="#MusicForEveryone"/>
    <n v="9.4690354648038683E-2"/>
    <n v="121"/>
    <n v="5639"/>
    <x v="0"/>
    <x v="2"/>
    <x v="0"/>
  </r>
  <r>
    <s v="SP099"/>
    <x v="1"/>
    <d v="2024-10-15T00:00:00"/>
    <x v="0"/>
    <s v="Wrapped is here! Relive your top tracks "/>
    <n v="1984"/>
    <n v="481"/>
    <n v="356"/>
    <n v="40681"/>
    <n v="63111"/>
    <n v="258"/>
    <s v="#NowPlaying"/>
    <m/>
    <n v="6.934441139598338E-2"/>
    <n v="205"/>
    <n v="2821"/>
    <x v="0"/>
    <x v="2"/>
    <x v="0"/>
  </r>
  <r>
    <s v="SP100"/>
    <x v="0"/>
    <d v="2024-07-21T00:00:00"/>
    <x v="0"/>
    <s v="Discover fresh beats on Spotify!"/>
    <n v="3004"/>
    <n v="415"/>
    <n v="218"/>
    <n v="36090"/>
    <n v="37073"/>
    <n v="181"/>
    <s v="#DiscoverWeekly"/>
    <m/>
    <n v="0.10077583818232197"/>
    <n v="107"/>
    <n v="3637"/>
    <x v="0"/>
    <x v="2"/>
    <x v="0"/>
  </r>
  <r>
    <s v="SP101"/>
    <x v="1"/>
    <d v="2024-10-12T00:00:00"/>
    <x v="0"/>
    <s v="Get into the groove with our new drop!"/>
    <n v="3169"/>
    <n v="386"/>
    <n v="175"/>
    <n v="45012"/>
    <n v="38508"/>
    <n v="218"/>
    <s v="#NowPlaying"/>
    <m/>
    <n v="8.2866791077934779E-2"/>
    <n v="165"/>
    <n v="3730"/>
    <x v="0"/>
    <x v="2"/>
    <x v="0"/>
  </r>
  <r>
    <s v="SP102"/>
    <x v="1"/>
    <d v="2024-10-26T00:00:00"/>
    <x v="0"/>
    <s v="Discover fresh beats on Spotify!"/>
    <n v="3036"/>
    <n v="293"/>
    <n v="115"/>
    <n v="23776"/>
    <n v="46386"/>
    <n v="282"/>
    <s v="#NowPlaying"/>
    <m/>
    <n v="0.14485195154777927"/>
    <n v="41"/>
    <n v="3444"/>
    <x v="0"/>
    <x v="2"/>
    <x v="0"/>
  </r>
  <r>
    <s v="SP103"/>
    <x v="0"/>
    <d v="2024-02-14T00:00:00"/>
    <x v="0"/>
    <s v="Music that moves you-only on Spotify."/>
    <n v="1830"/>
    <n v="112"/>
    <n v="181"/>
    <n v="31870"/>
    <n v="55742"/>
    <n v="263"/>
    <s v="#SoundtrackOfLife"/>
    <s v="#NowPlaying"/>
    <n v="6.6614370881706936E-2"/>
    <n v="208"/>
    <n v="2123"/>
    <x v="0"/>
    <x v="2"/>
    <x v="0"/>
  </r>
  <r>
    <s v="SP104"/>
    <x v="1"/>
    <d v="2024-05-01T00:00:00"/>
    <x v="1"/>
    <s v="What's your vibe today? #SpotifyHits"/>
    <n v="2587"/>
    <n v="447"/>
    <n v="183"/>
    <n v="36266"/>
    <n v="32877"/>
    <n v="132"/>
    <s v="#DiscoverWeekly"/>
    <s v="#MusicForEveryone"/>
    <n v="8.8705674736667947E-2"/>
    <n v="140"/>
    <n v="3217"/>
    <x v="0"/>
    <x v="2"/>
    <x v="0"/>
  </r>
  <r>
    <s v="SP105"/>
    <x v="1"/>
    <d v="2024-09-18T00:00:00"/>
    <x v="0"/>
    <s v="Discover fresh beats on Spotify!"/>
    <n v="2878"/>
    <n v="265"/>
    <n v="91"/>
    <n v="52090"/>
    <n v="28924"/>
    <n v="133"/>
    <s v="#NowPlaying"/>
    <m/>
    <n v="6.2084853138798232E-2"/>
    <n v="218"/>
    <n v="3234"/>
    <x v="0"/>
    <x v="2"/>
    <x v="0"/>
  </r>
  <r>
    <s v="SP106"/>
    <x v="1"/>
    <d v="2025-01-20T00:00:00"/>
    <x v="1"/>
    <s v="New music just dropped. Hit play!"/>
    <n v="4619"/>
    <n v="272"/>
    <n v="57"/>
    <n v="21334"/>
    <n v="46292"/>
    <n v="91"/>
    <s v="#SoundtrackOfLife"/>
    <s v="#NowPlaying"/>
    <n v="0.23193025217961938"/>
    <n v="2"/>
    <n v="4948"/>
    <x v="1"/>
    <x v="1"/>
    <x v="1"/>
  </r>
  <r>
    <s v="SP107"/>
    <x v="1"/>
    <d v="2025-01-13T00:00:00"/>
    <x v="0"/>
    <s v="Music that moves you-only on Spotify."/>
    <n v="4090"/>
    <n v="209"/>
    <n v="278"/>
    <n v="52853"/>
    <n v="57084"/>
    <n v="102"/>
    <s v="#SoundtrackOfLife"/>
    <m/>
    <n v="8.6598679355949518E-2"/>
    <n v="149"/>
    <n v="4577"/>
    <x v="1"/>
    <x v="1"/>
    <x v="1"/>
  </r>
  <r>
    <s v="SP108"/>
    <x v="2"/>
    <d v="2024-09-07T00:00:00"/>
    <x v="2"/>
    <s v="Music that moves you-only on Spotify."/>
    <n v="3882"/>
    <n v="342"/>
    <n v="374"/>
    <n v="41991"/>
    <n v="48554"/>
    <n v="118"/>
    <s v="#DiscoverWeekly"/>
    <s v="#SoundtrackOfLife"/>
    <n v="0.10949965468790931"/>
    <n v="85"/>
    <n v="4598"/>
    <x v="0"/>
    <x v="2"/>
    <x v="0"/>
  </r>
  <r>
    <s v="SP109"/>
    <x v="0"/>
    <d v="2024-11-21T00:00:00"/>
    <x v="0"/>
    <s v="Music that moves you-only on Spotify."/>
    <n v="4581"/>
    <n v="181"/>
    <n v="112"/>
    <n v="35221"/>
    <n v="28797"/>
    <n v="164"/>
    <s v="#SoundtrackOfLife"/>
    <s v="#NowPlaying"/>
    <n v="0.13838335084182732"/>
    <n v="49"/>
    <n v="4874"/>
    <x v="0"/>
    <x v="2"/>
    <x v="0"/>
  </r>
  <r>
    <s v="SP110"/>
    <x v="0"/>
    <d v="2024-06-26T00:00:00"/>
    <x v="0"/>
    <s v="New music just dropped. Hit play!"/>
    <n v="3253"/>
    <n v="483"/>
    <n v="336"/>
    <n v="25397"/>
    <n v="51485"/>
    <n v="131"/>
    <s v="#DiscoverWeekly"/>
    <m/>
    <n v="0.16033389770445328"/>
    <n v="29"/>
    <n v="4072"/>
    <x v="3"/>
    <x v="2"/>
    <x v="1"/>
  </r>
  <r>
    <s v="SP111"/>
    <x v="2"/>
    <d v="2024-07-20T00:00:00"/>
    <x v="2"/>
    <s v="Music that moves you-only on Spotify."/>
    <n v="4955"/>
    <n v="299"/>
    <n v="345"/>
    <n v="33644"/>
    <n v="43547"/>
    <n v="194"/>
    <s v="#DiscoverWeekly"/>
    <s v="#SoundtrackOfLife"/>
    <n v="0.16641897515158721"/>
    <n v="20"/>
    <n v="5599"/>
    <x v="0"/>
    <x v="2"/>
    <x v="0"/>
  </r>
  <r>
    <s v="SP112"/>
    <x v="0"/>
    <d v="2025-02-16T00:00:00"/>
    <x v="0"/>
    <s v="Your weekend playlist is waiting."/>
    <n v="1333"/>
    <n v="286"/>
    <n v="298"/>
    <n v="36174"/>
    <n v="34517"/>
    <n v="170"/>
    <s v="#SoundtrackOfLife"/>
    <s v="#NowPlaying"/>
    <n v="5.2993862995521647E-2"/>
    <n v="243"/>
    <n v="1917"/>
    <x v="0"/>
    <x v="0"/>
    <x v="0"/>
  </r>
  <r>
    <s v="SP113"/>
    <x v="0"/>
    <d v="2024-09-09T00:00:00"/>
    <x v="0"/>
    <s v="New music just dropped. Hit play!"/>
    <n v="1616"/>
    <n v="360"/>
    <n v="180"/>
    <n v="54342"/>
    <n v="18796"/>
    <n v="282"/>
    <s v="#SoundtrackOfLife"/>
    <s v="#NowPlaying"/>
    <n v="3.9674653122814763E-2"/>
    <n v="278"/>
    <n v="2156"/>
    <x v="0"/>
    <x v="2"/>
    <x v="0"/>
  </r>
  <r>
    <s v="SP114"/>
    <x v="1"/>
    <d v="2024-07-16T00:00:00"/>
    <x v="0"/>
    <s v="Top trending tracks updated daily!"/>
    <n v="1803"/>
    <n v="273"/>
    <n v="287"/>
    <n v="46176"/>
    <n v="25488"/>
    <n v="141"/>
    <s v="#NowPlaying"/>
    <m/>
    <n v="5.1173769923769923E-2"/>
    <n v="253"/>
    <n v="2363"/>
    <x v="0"/>
    <x v="2"/>
    <x v="0"/>
  </r>
  <r>
    <s v="SP115"/>
    <x v="0"/>
    <d v="2025-04-15T00:00:00"/>
    <x v="0"/>
    <s v="Explore the latest podcasts now."/>
    <n v="4177"/>
    <n v="489"/>
    <n v="331"/>
    <n v="57451"/>
    <n v="73793"/>
    <n v="251"/>
    <s v="#DiscoverWeekly"/>
    <m/>
    <n v="8.6978468608031198E-2"/>
    <n v="147"/>
    <n v="4997"/>
    <x v="0"/>
    <x v="0"/>
    <x v="0"/>
  </r>
  <r>
    <s v="SP116"/>
    <x v="0"/>
    <d v="2025-05-04T00:00:00"/>
    <x v="1"/>
    <s v="New music just dropped. Hit play!"/>
    <n v="1311"/>
    <n v="181"/>
    <n v="361"/>
    <n v="37148"/>
    <n v="44875"/>
    <n v="245"/>
    <s v="#NowPlaying"/>
    <m/>
    <n v="4.9881554861634543E-2"/>
    <n v="256"/>
    <n v="1853"/>
    <x v="0"/>
    <x v="0"/>
    <x v="0"/>
  </r>
  <r>
    <s v="SP117"/>
    <x v="0"/>
    <d v="2024-02-18T00:00:00"/>
    <x v="1"/>
    <s v="From pop to podcasts, it's all here."/>
    <n v="1516"/>
    <n v="215"/>
    <n v="332"/>
    <n v="58981"/>
    <n v="36118"/>
    <n v="211"/>
    <s v="#NowPlaying"/>
    <m/>
    <n v="3.4977365592309385E-2"/>
    <n v="288"/>
    <n v="2063"/>
    <x v="0"/>
    <x v="2"/>
    <x v="0"/>
  </r>
  <r>
    <s v="SP118"/>
    <x v="1"/>
    <d v="2024-05-16T00:00:00"/>
    <x v="1"/>
    <s v="Music that moves you-only on Spotify."/>
    <n v="2023"/>
    <n v="124"/>
    <n v="99"/>
    <n v="54524"/>
    <n v="34790"/>
    <n v="195"/>
    <s v="#DiscoverWeekly"/>
    <s v="#MusicForEveryone"/>
    <n v="4.1192869195216787E-2"/>
    <n v="273"/>
    <n v="2246"/>
    <x v="0"/>
    <x v="2"/>
    <x v="0"/>
  </r>
  <r>
    <s v="SP119"/>
    <x v="1"/>
    <d v="2025-05-29T00:00:00"/>
    <x v="1"/>
    <s v="Music that moves you-only on Spotify."/>
    <n v="2134"/>
    <n v="322"/>
    <n v="114"/>
    <n v="44338"/>
    <n v="52165"/>
    <n v="176"/>
    <s v="#MusicForEveryone"/>
    <s v="#NowPlaying"/>
    <n v="5.7963823356939871E-2"/>
    <n v="230"/>
    <n v="2570"/>
    <x v="0"/>
    <x v="0"/>
    <x v="0"/>
  </r>
  <r>
    <s v="SP120"/>
    <x v="0"/>
    <d v="2025-01-17T00:00:00"/>
    <x v="0"/>
    <s v="Top trending tracks updated daily!"/>
    <n v="2266"/>
    <n v="126"/>
    <n v="140"/>
    <n v="53759"/>
    <n v="46834"/>
    <n v="277"/>
    <s v="#DiscoverWeekly"/>
    <m/>
    <n v="4.7099090384865788E-2"/>
    <n v="262"/>
    <n v="2532"/>
    <x v="1"/>
    <x v="1"/>
    <x v="1"/>
  </r>
  <r>
    <s v="SP121"/>
    <x v="0"/>
    <d v="2025-04-30T00:00:00"/>
    <x v="1"/>
    <s v="New music just dropped. Hit play!"/>
    <n v="3916"/>
    <n v="459"/>
    <n v="229"/>
    <n v="48989"/>
    <n v="39768"/>
    <n v="200"/>
    <s v="#NowPlaying"/>
    <m/>
    <n v="9.3980281287635997E-2"/>
    <n v="126"/>
    <n v="4604"/>
    <x v="0"/>
    <x v="0"/>
    <x v="0"/>
  </r>
  <r>
    <s v="SP122"/>
    <x v="1"/>
    <d v="2024-02-24T00:00:00"/>
    <x v="1"/>
    <s v="Music that moves you-only on Spotify."/>
    <n v="1022"/>
    <n v="463"/>
    <n v="360"/>
    <n v="51468"/>
    <n v="24279"/>
    <n v="230"/>
    <s v="#DiscoverWeekly"/>
    <s v="#MusicForEveryone"/>
    <n v="3.5847516903707161E-2"/>
    <n v="283"/>
    <n v="1845"/>
    <x v="0"/>
    <x v="2"/>
    <x v="0"/>
  </r>
  <r>
    <s v="SP123"/>
    <x v="2"/>
    <d v="2024-05-12T00:00:00"/>
    <x v="0"/>
    <s v="From pop to podcasts, it's all here."/>
    <n v="2911"/>
    <n v="467"/>
    <n v="94"/>
    <n v="59083"/>
    <n v="49762"/>
    <n v="236"/>
    <s v="#DiscoverWeekly"/>
    <s v="#SpotifyWrapped"/>
    <n v="5.8764788517847777E-2"/>
    <n v="227"/>
    <n v="3472"/>
    <x v="0"/>
    <x v="2"/>
    <x v="0"/>
  </r>
  <r>
    <s v="SP124"/>
    <x v="1"/>
    <d v="2024-05-09T00:00:00"/>
    <x v="1"/>
    <s v="New music just dropped. Hit play!"/>
    <n v="3277"/>
    <n v="423"/>
    <n v="259"/>
    <n v="46328"/>
    <n v="44293"/>
    <n v="299"/>
    <s v="#SoundtrackOfLife"/>
    <s v="#NowPlaying"/>
    <n v="8.5455879813503707E-2"/>
    <n v="154"/>
    <n v="3959"/>
    <x v="0"/>
    <x v="2"/>
    <x v="0"/>
  </r>
  <r>
    <s v="SP125"/>
    <x v="1"/>
    <d v="2024-11-06T00:00:00"/>
    <x v="0"/>
    <s v="From pop to podcasts, it's all here."/>
    <n v="2956"/>
    <n v="381"/>
    <n v="345"/>
    <n v="33347"/>
    <n v="22558"/>
    <n v="173"/>
    <s v="#NowPlaying"/>
    <m/>
    <n v="0.11041472996071611"/>
    <n v="82"/>
    <n v="3682"/>
    <x v="0"/>
    <x v="2"/>
    <x v="0"/>
  </r>
  <r>
    <s v="SP126"/>
    <x v="1"/>
    <d v="2024-01-04T00:00:00"/>
    <x v="1"/>
    <s v="What's your vibe today? #SpotifyHits"/>
    <n v="3208"/>
    <n v="476"/>
    <n v="277"/>
    <n v="56072"/>
    <n v="21061"/>
    <n v="113"/>
    <s v="#MusicForEveryone"/>
    <s v="#NowPlaying"/>
    <n v="7.064131830503638E-2"/>
    <n v="200"/>
    <n v="3961"/>
    <x v="0"/>
    <x v="2"/>
    <x v="0"/>
  </r>
  <r>
    <s v="SP127"/>
    <x v="1"/>
    <d v="2024-01-28T00:00:00"/>
    <x v="0"/>
    <s v="Music that moves you-only on Spotify."/>
    <n v="1456"/>
    <n v="265"/>
    <n v="137"/>
    <n v="53485"/>
    <n v="59729"/>
    <n v="145"/>
    <s v="#SoundtrackOfLife"/>
    <m/>
    <n v="3.4738711788351875E-2"/>
    <n v="289"/>
    <n v="1858"/>
    <x v="0"/>
    <x v="2"/>
    <x v="0"/>
  </r>
  <r>
    <s v="SP128"/>
    <x v="0"/>
    <d v="2024-02-22T00:00:00"/>
    <x v="0"/>
    <s v="New music just dropped. Hit play!"/>
    <n v="1902"/>
    <n v="394"/>
    <n v="279"/>
    <n v="24615"/>
    <n v="51330"/>
    <n v="176"/>
    <s v="#SoundtrackOfLife"/>
    <s v="#NowPlaying"/>
    <n v="0.10461100954702417"/>
    <n v="99"/>
    <n v="2575"/>
    <x v="0"/>
    <x v="2"/>
    <x v="0"/>
  </r>
  <r>
    <s v="SP129"/>
    <x v="1"/>
    <d v="2025-07-01T00:00:00"/>
    <x v="1"/>
    <s v="Explore the latest podcasts now."/>
    <n v="3219"/>
    <n v="424"/>
    <n v="267"/>
    <n v="48879"/>
    <n v="37691"/>
    <n v="224"/>
    <s v="#DiscoverWeekly"/>
    <s v="#MusicForEveryone"/>
    <n v="7.9993453221219743E-2"/>
    <n v="179"/>
    <n v="3910"/>
    <x v="0"/>
    <x v="0"/>
    <x v="0"/>
  </r>
  <r>
    <s v="SP130"/>
    <x v="2"/>
    <d v="2024-01-10T00:00:00"/>
    <x v="0"/>
    <s v="Explore the latest podcasts now."/>
    <n v="1261"/>
    <n v="190"/>
    <n v="233"/>
    <n v="59888"/>
    <n v="51449"/>
    <n v="205"/>
    <s v="#DiscoverWeekly"/>
    <s v="#SpotifyWrapped"/>
    <n v="2.811915575741384E-2"/>
    <n v="298"/>
    <n v="1684"/>
    <x v="0"/>
    <x v="2"/>
    <x v="0"/>
  </r>
  <r>
    <s v="SP131"/>
    <x v="1"/>
    <d v="2025-03-20T00:00:00"/>
    <x v="0"/>
    <s v="Your weekend playlist is waiting."/>
    <n v="1564"/>
    <n v="362"/>
    <n v="371"/>
    <n v="42075"/>
    <n v="66659"/>
    <n v="205"/>
    <s v="#SoundtrackOfLife"/>
    <m/>
    <n v="5.4592988710635768E-2"/>
    <n v="238"/>
    <n v="2297"/>
    <x v="4"/>
    <x v="0"/>
    <x v="1"/>
  </r>
  <r>
    <s v="SP132"/>
    <x v="1"/>
    <d v="2024-09-28T00:00:00"/>
    <x v="0"/>
    <s v="What's your vibe today? #SpotifyHits"/>
    <n v="4006"/>
    <n v="420"/>
    <n v="194"/>
    <n v="49964"/>
    <n v="20685"/>
    <n v="148"/>
    <s v="#NowPlaying"/>
    <m/>
    <n v="9.2466575934672959E-2"/>
    <n v="132"/>
    <n v="4620"/>
    <x v="0"/>
    <x v="2"/>
    <x v="0"/>
  </r>
  <r>
    <s v="SP133"/>
    <x v="2"/>
    <d v="2024-01-27T00:00:00"/>
    <x v="0"/>
    <s v="Your weekend playlist is waiting."/>
    <n v="1976"/>
    <n v="262"/>
    <n v="218"/>
    <n v="51696"/>
    <n v="44846"/>
    <n v="139"/>
    <s v="#DiscoverWeekly"/>
    <s v="#SpotifyWrapped"/>
    <n v="4.7508511296812134E-2"/>
    <n v="260"/>
    <n v="2456"/>
    <x v="0"/>
    <x v="2"/>
    <x v="0"/>
  </r>
  <r>
    <s v="SP134"/>
    <x v="1"/>
    <d v="2025-05-15T00:00:00"/>
    <x v="0"/>
    <s v="New music just dropped. Hit play!"/>
    <n v="1583"/>
    <n v="433"/>
    <n v="249"/>
    <n v="30256"/>
    <n v="47066"/>
    <n v="196"/>
    <s v="#NowPlaying"/>
    <m/>
    <n v="7.4861184558434685E-2"/>
    <n v="189"/>
    <n v="2265"/>
    <x v="0"/>
    <x v="0"/>
    <x v="0"/>
  </r>
  <r>
    <s v="SP135"/>
    <x v="1"/>
    <d v="2024-10-04T00:00:00"/>
    <x v="1"/>
    <s v="Explore the latest podcasts now."/>
    <n v="2870"/>
    <n v="380"/>
    <n v="393"/>
    <n v="37621"/>
    <n v="71794"/>
    <n v="127"/>
    <s v="#MusicForEveryone"/>
    <s v="#NowPlaying"/>
    <n v="9.6834214933149046E-2"/>
    <n v="117"/>
    <n v="3643"/>
    <x v="0"/>
    <x v="2"/>
    <x v="0"/>
  </r>
  <r>
    <s v="SP136"/>
    <x v="1"/>
    <d v="2024-11-19T00:00:00"/>
    <x v="0"/>
    <s v="Top trending tracks updated daily!"/>
    <n v="3728"/>
    <n v="271"/>
    <n v="275"/>
    <n v="22827"/>
    <n v="37034"/>
    <n v="199"/>
    <s v="#NowPlaying"/>
    <m/>
    <n v="0.18723441538528934"/>
    <n v="9"/>
    <n v="4274"/>
    <x v="0"/>
    <x v="2"/>
    <x v="0"/>
  </r>
  <r>
    <s v="SP137"/>
    <x v="1"/>
    <d v="2024-04-05T00:00:00"/>
    <x v="1"/>
    <s v="New music just dropped. Hit play!"/>
    <n v="4965"/>
    <n v="175"/>
    <n v="307"/>
    <n v="32793"/>
    <n v="43412"/>
    <n v="296"/>
    <s v="#SoundtrackOfLife"/>
    <s v="#NowPlaying"/>
    <n v="0.16610252187966945"/>
    <n v="21"/>
    <n v="5447"/>
    <x v="0"/>
    <x v="2"/>
    <x v="0"/>
  </r>
  <r>
    <s v="SP138"/>
    <x v="1"/>
    <d v="2024-11-28T00:00:00"/>
    <x v="1"/>
    <s v="New music just dropped. Hit play!"/>
    <n v="1131"/>
    <n v="100"/>
    <n v="116"/>
    <n v="48437"/>
    <n v="72704"/>
    <n v="236"/>
    <s v="#DiscoverWeekly"/>
    <s v="#MusicForEveryone"/>
    <n v="2.7809319322005904E-2"/>
    <n v="299"/>
    <n v="1347"/>
    <x v="0"/>
    <x v="2"/>
    <x v="0"/>
  </r>
  <r>
    <s v="SP139"/>
    <x v="1"/>
    <d v="2025-03-09T00:00:00"/>
    <x v="0"/>
    <s v="Your weekend playlist is waiting."/>
    <n v="2754"/>
    <n v="215"/>
    <n v="264"/>
    <n v="27762"/>
    <n v="70203"/>
    <n v="289"/>
    <s v="#NowPlaying"/>
    <m/>
    <n v="0.11645414595490239"/>
    <n v="69"/>
    <n v="3233"/>
    <x v="4"/>
    <x v="0"/>
    <x v="1"/>
  </r>
  <r>
    <s v="SP140"/>
    <x v="1"/>
    <d v="2024-08-27T00:00:00"/>
    <x v="1"/>
    <s v="New music just dropped. Hit play!"/>
    <n v="1856"/>
    <n v="357"/>
    <n v="348"/>
    <n v="29428"/>
    <n v="70206"/>
    <n v="236"/>
    <s v="#MusicForEveryone"/>
    <s v="#NowPlaying"/>
    <n v="8.702596166915863E-2"/>
    <n v="146"/>
    <n v="2561"/>
    <x v="0"/>
    <x v="2"/>
    <x v="0"/>
  </r>
  <r>
    <s v="SP141"/>
    <x v="2"/>
    <d v="2024-10-01T00:00:00"/>
    <x v="2"/>
    <s v="Explore the latest podcasts now."/>
    <n v="3543"/>
    <n v="334"/>
    <n v="218"/>
    <n v="58007"/>
    <n v="24792"/>
    <n v="273"/>
    <s v="#DiscoverWeekly"/>
    <s v="#SoundtrackOfLife"/>
    <n v="7.0594928198320889E-2"/>
    <n v="201"/>
    <n v="4095"/>
    <x v="0"/>
    <x v="2"/>
    <x v="0"/>
  </r>
  <r>
    <s v="SP142"/>
    <x v="0"/>
    <d v="2024-12-21T00:00:00"/>
    <x v="1"/>
    <s v="New music just dropped. Hit play!"/>
    <n v="4563"/>
    <n v="398"/>
    <n v="163"/>
    <n v="43679"/>
    <n v="48760"/>
    <n v="92"/>
    <s v="#NowPlaying"/>
    <m/>
    <n v="0.11731037798484398"/>
    <n v="67"/>
    <n v="5124"/>
    <x v="2"/>
    <x v="2"/>
    <x v="1"/>
  </r>
  <r>
    <s v="SP143"/>
    <x v="0"/>
    <d v="2024-06-17T00:00:00"/>
    <x v="0"/>
    <s v="Discover fresh beats on Spotify!"/>
    <n v="4283"/>
    <n v="471"/>
    <n v="156"/>
    <n v="53004"/>
    <n v="25678"/>
    <n v="105"/>
    <s v="#DiscoverWeekly"/>
    <m/>
    <n v="9.2634518149573616E-2"/>
    <n v="131"/>
    <n v="4910"/>
    <x v="3"/>
    <x v="2"/>
    <x v="1"/>
  </r>
  <r>
    <s v="SP144"/>
    <x v="0"/>
    <d v="2025-02-14T00:00:00"/>
    <x v="0"/>
    <s v="Discover fresh beats on Spotify!"/>
    <n v="2329"/>
    <n v="373"/>
    <n v="291"/>
    <n v="49577"/>
    <n v="28002"/>
    <n v="82"/>
    <s v="#SoundtrackOfLife"/>
    <s v="#NowPlaying"/>
    <n v="6.0370736430199488E-2"/>
    <n v="222"/>
    <n v="2993"/>
    <x v="0"/>
    <x v="0"/>
    <x v="0"/>
  </r>
  <r>
    <s v="SP145"/>
    <x v="1"/>
    <d v="2025-05-28T00:00:00"/>
    <x v="1"/>
    <s v="Top trending tracks updated daily!"/>
    <n v="4287"/>
    <n v="273"/>
    <n v="122"/>
    <n v="40792"/>
    <n v="23878"/>
    <n v="277"/>
    <s v="#MusicForEveryone"/>
    <s v="#NowPlaying"/>
    <n v="0.11477740733477153"/>
    <n v="71"/>
    <n v="4682"/>
    <x v="0"/>
    <x v="0"/>
    <x v="0"/>
  </r>
  <r>
    <s v="SP146"/>
    <x v="0"/>
    <d v="2025-05-22T00:00:00"/>
    <x v="0"/>
    <s v="Discover fresh beats on Spotify!"/>
    <n v="2633"/>
    <n v="318"/>
    <n v="380"/>
    <n v="40869"/>
    <n v="64474"/>
    <n v="245"/>
    <s v="#DiscoverWeekly"/>
    <m/>
    <n v="8.1504318676747664E-2"/>
    <n v="172"/>
    <n v="3331"/>
    <x v="0"/>
    <x v="0"/>
    <x v="0"/>
  </r>
  <r>
    <s v="SP147"/>
    <x v="1"/>
    <d v="2024-01-21T00:00:00"/>
    <x v="1"/>
    <s v="Discover fresh beats on Spotify!"/>
    <n v="2383"/>
    <n v="136"/>
    <n v="302"/>
    <n v="39187"/>
    <n v="22133"/>
    <n v="208"/>
    <s v="#MusicForEveryone"/>
    <s v="#NowPlaying"/>
    <n v="7.1988159338556151E-2"/>
    <n v="196"/>
    <n v="2821"/>
    <x v="0"/>
    <x v="2"/>
    <x v="0"/>
  </r>
  <r>
    <s v="SP148"/>
    <x v="1"/>
    <d v="2025-02-08T00:00:00"/>
    <x v="1"/>
    <s v="Your weekend playlist is waiting."/>
    <n v="4752"/>
    <n v="334"/>
    <n v="56"/>
    <n v="48017"/>
    <n v="55534"/>
    <n v="270"/>
    <s v="#DiscoverWeekly"/>
    <s v="#MusicForEveryone"/>
    <n v="0.10708707332819627"/>
    <n v="92"/>
    <n v="5142"/>
    <x v="1"/>
    <x v="1"/>
    <x v="1"/>
  </r>
  <r>
    <s v="SP149"/>
    <x v="1"/>
    <d v="2025-04-13T00:00:00"/>
    <x v="0"/>
    <s v="From pop to podcasts, it's all here."/>
    <n v="3890"/>
    <n v="408"/>
    <n v="338"/>
    <n v="56994"/>
    <n v="32621"/>
    <n v="286"/>
    <s v="#SoundtrackOfLife"/>
    <m/>
    <n v="8.1341895638137346E-2"/>
    <n v="173"/>
    <n v="4636"/>
    <x v="0"/>
    <x v="0"/>
    <x v="0"/>
  </r>
  <r>
    <s v="SP150"/>
    <x v="1"/>
    <d v="2024-05-30T00:00:00"/>
    <x v="1"/>
    <s v="Your weekend playlist is waiting."/>
    <n v="2311"/>
    <n v="207"/>
    <n v="363"/>
    <n v="30349"/>
    <n v="32925"/>
    <n v="88"/>
    <s v="#MusicForEveryone"/>
    <s v="#NowPlaying"/>
    <n v="9.4928992718046723E-2"/>
    <n v="120"/>
    <n v="2881"/>
    <x v="0"/>
    <x v="2"/>
    <x v="0"/>
  </r>
  <r>
    <s v="SP151"/>
    <x v="0"/>
    <d v="2024-08-12T00:00:00"/>
    <x v="1"/>
    <s v="Discover fresh beats on Spotify!"/>
    <n v="2962"/>
    <n v="400"/>
    <n v="280"/>
    <n v="52508"/>
    <n v="58329"/>
    <n v="219"/>
    <s v="#NowPlaying"/>
    <m/>
    <n v="6.9360859297630834E-2"/>
    <n v="204"/>
    <n v="3642"/>
    <x v="0"/>
    <x v="2"/>
    <x v="0"/>
  </r>
  <r>
    <s v="SP152"/>
    <x v="0"/>
    <d v="2024-09-27T00:00:00"/>
    <x v="0"/>
    <s v="Discover fresh beats on Spotify!"/>
    <n v="3118"/>
    <n v="116"/>
    <n v="195"/>
    <n v="37100"/>
    <n v="62629"/>
    <n v="272"/>
    <s v="#DiscoverWeekly"/>
    <m/>
    <n v="9.2425876010781671E-2"/>
    <n v="133"/>
    <n v="3429"/>
    <x v="0"/>
    <x v="2"/>
    <x v="0"/>
  </r>
  <r>
    <s v="SP153"/>
    <x v="1"/>
    <d v="2025-06-11T00:00:00"/>
    <x v="1"/>
    <s v="Explore the latest podcasts now."/>
    <n v="3805"/>
    <n v="453"/>
    <n v="63"/>
    <n v="52395"/>
    <n v="72934"/>
    <n v="87"/>
    <s v="#DiscoverWeekly"/>
    <s v="#MusicForEveryone"/>
    <n v="8.2469701307376658E-2"/>
    <n v="168"/>
    <n v="4321"/>
    <x v="0"/>
    <x v="0"/>
    <x v="0"/>
  </r>
  <r>
    <s v="SP154"/>
    <x v="0"/>
    <d v="2024-11-19T00:00:00"/>
    <x v="0"/>
    <s v="What's your vibe today? #SpotifyHits"/>
    <n v="2525"/>
    <n v="272"/>
    <n v="294"/>
    <n v="51875"/>
    <n v="24732"/>
    <n v="92"/>
    <s v="#DiscoverWeekly"/>
    <m/>
    <n v="5.9585542168674697E-2"/>
    <n v="225"/>
    <n v="3091"/>
    <x v="0"/>
    <x v="2"/>
    <x v="0"/>
  </r>
  <r>
    <s v="SP155"/>
    <x v="0"/>
    <d v="2024-04-25T00:00:00"/>
    <x v="0"/>
    <s v="Music that moves you-only on Spotify."/>
    <n v="3563"/>
    <n v="483"/>
    <n v="227"/>
    <n v="41085"/>
    <n v="26393"/>
    <n v="236"/>
    <s v="#SoundtrackOfLife"/>
    <s v="#NowPlaying"/>
    <n v="0.10400389436534015"/>
    <n v="100"/>
    <n v="4273"/>
    <x v="0"/>
    <x v="2"/>
    <x v="0"/>
  </r>
  <r>
    <s v="SP156"/>
    <x v="2"/>
    <d v="2024-09-03T00:00:00"/>
    <x v="2"/>
    <s v="What's your vibe today? #SpotifyHits"/>
    <n v="1437"/>
    <n v="494"/>
    <n v="129"/>
    <n v="53048"/>
    <n v="44090"/>
    <n v="230"/>
    <s v="#DiscoverWeekly"/>
    <s v="#SoundtrackOfLife"/>
    <n v="3.8832755240536872E-2"/>
    <n v="281"/>
    <n v="2060"/>
    <x v="0"/>
    <x v="2"/>
    <x v="0"/>
  </r>
  <r>
    <s v="SP157"/>
    <x v="2"/>
    <d v="2025-03-02T00:00:00"/>
    <x v="0"/>
    <s v="From pop to podcasts, it's all here."/>
    <n v="4425"/>
    <n v="185"/>
    <n v="162"/>
    <n v="24610"/>
    <n v="21342"/>
    <n v="158"/>
    <s v="#DiscoverWeekly"/>
    <s v="#SpotifyWrapped"/>
    <n v="0.19390491670052823"/>
    <n v="7"/>
    <n v="4772"/>
    <x v="4"/>
    <x v="0"/>
    <x v="1"/>
  </r>
  <r>
    <s v="SP158"/>
    <x v="1"/>
    <d v="2025-03-21T00:00:00"/>
    <x v="1"/>
    <s v="New music just dropped. Hit play!"/>
    <n v="4609"/>
    <n v="427"/>
    <n v="395"/>
    <n v="33698"/>
    <n v="29259"/>
    <n v="216"/>
    <s v="#DiscoverWeekly"/>
    <s v="#MusicForEveryone"/>
    <n v="0.16116683482699271"/>
    <n v="27"/>
    <n v="5431"/>
    <x v="4"/>
    <x v="0"/>
    <x v="1"/>
  </r>
  <r>
    <s v="SP159"/>
    <x v="0"/>
    <d v="2024-04-12T00:00:00"/>
    <x v="1"/>
    <s v="Get into the groove with our new drop!"/>
    <n v="1558"/>
    <n v="352"/>
    <n v="202"/>
    <n v="25405"/>
    <n v="69941"/>
    <n v="219"/>
    <s v="#NowPlaying"/>
    <m/>
    <n v="8.3133241487896081E-2"/>
    <n v="164"/>
    <n v="2112"/>
    <x v="0"/>
    <x v="2"/>
    <x v="0"/>
  </r>
  <r>
    <s v="SP160"/>
    <x v="2"/>
    <d v="2024-02-08T00:00:00"/>
    <x v="2"/>
    <s v="Top trending tracks updated daily!"/>
    <n v="1889"/>
    <n v="298"/>
    <n v="122"/>
    <n v="46225"/>
    <n v="74305"/>
    <n v="293"/>
    <s v="#DiscoverWeekly"/>
    <s v="#SoundtrackOfLife"/>
    <n v="4.9951325040562468E-2"/>
    <n v="255"/>
    <n v="2309"/>
    <x v="0"/>
    <x v="2"/>
    <x v="0"/>
  </r>
  <r>
    <s v="SP161"/>
    <x v="0"/>
    <d v="2025-05-26T00:00:00"/>
    <x v="0"/>
    <s v="Discover fresh beats on Spotify!"/>
    <n v="3086"/>
    <n v="148"/>
    <n v="310"/>
    <n v="22824"/>
    <n v="58103"/>
    <n v="275"/>
    <s v="#DiscoverWeekly"/>
    <m/>
    <n v="0.1552751489660007"/>
    <n v="32"/>
    <n v="3544"/>
    <x v="0"/>
    <x v="0"/>
    <x v="0"/>
  </r>
  <r>
    <s v="SP162"/>
    <x v="0"/>
    <d v="2024-11-14T00:00:00"/>
    <x v="0"/>
    <s v="Music that moves you-only on Spotify."/>
    <n v="2422"/>
    <n v="318"/>
    <n v="118"/>
    <n v="25386"/>
    <n v="20873"/>
    <n v="100"/>
    <s v="#SoundtrackOfLife"/>
    <s v="#NowPlaying"/>
    <n v="0.11258173796580792"/>
    <n v="76"/>
    <n v="2858"/>
    <x v="0"/>
    <x v="2"/>
    <x v="0"/>
  </r>
  <r>
    <s v="SP163"/>
    <x v="2"/>
    <d v="2024-08-09T00:00:00"/>
    <x v="2"/>
    <s v="From pop to podcasts, it's all here."/>
    <n v="3414"/>
    <n v="154"/>
    <n v="204"/>
    <n v="34146"/>
    <n v="44633"/>
    <n v="256"/>
    <s v="#DiscoverWeekly"/>
    <s v="#SoundtrackOfLife"/>
    <n v="0.11046681895390383"/>
    <n v="81"/>
    <n v="3772"/>
    <x v="0"/>
    <x v="2"/>
    <x v="0"/>
  </r>
  <r>
    <s v="SP164"/>
    <x v="0"/>
    <d v="2025-06-27T00:00:00"/>
    <x v="1"/>
    <s v="What's your vibe today? #SpotifyHits"/>
    <n v="1342"/>
    <n v="332"/>
    <n v="163"/>
    <n v="51712"/>
    <n v="57922"/>
    <n v="168"/>
    <s v="#NowPlaying"/>
    <m/>
    <n v="3.5523669554455448E-2"/>
    <n v="286"/>
    <n v="1837"/>
    <x v="0"/>
    <x v="0"/>
    <x v="0"/>
  </r>
  <r>
    <s v="SP165"/>
    <x v="0"/>
    <d v="2024-05-08T00:00:00"/>
    <x v="1"/>
    <s v="Music that moves you-only on Spotify."/>
    <n v="2414"/>
    <n v="220"/>
    <n v="280"/>
    <n v="27355"/>
    <n v="50562"/>
    <n v="258"/>
    <s v="#NowPlaying"/>
    <m/>
    <n v="0.10652531529884847"/>
    <n v="94"/>
    <n v="2914"/>
    <x v="0"/>
    <x v="2"/>
    <x v="0"/>
  </r>
  <r>
    <s v="SP166"/>
    <x v="0"/>
    <d v="2024-04-05T00:00:00"/>
    <x v="0"/>
    <s v="New music just dropped. Hit play!"/>
    <n v="4383"/>
    <n v="352"/>
    <n v="176"/>
    <n v="53239"/>
    <n v="34168"/>
    <n v="288"/>
    <s v="#DiscoverWeekly"/>
    <m/>
    <n v="9.2244407295403744E-2"/>
    <n v="134"/>
    <n v="4911"/>
    <x v="0"/>
    <x v="2"/>
    <x v="0"/>
  </r>
  <r>
    <s v="SP167"/>
    <x v="2"/>
    <d v="2025-01-27T00:00:00"/>
    <x v="0"/>
    <s v="Wrapped is here! Relive your top tracks "/>
    <n v="4294"/>
    <n v="423"/>
    <n v="93"/>
    <n v="29828"/>
    <n v="73144"/>
    <n v="298"/>
    <s v="#DiscoverWeekly"/>
    <s v="#SpotifyWrapped"/>
    <n v="0.1612578785034196"/>
    <n v="26"/>
    <n v="4810"/>
    <x v="1"/>
    <x v="1"/>
    <x v="1"/>
  </r>
  <r>
    <s v="SP168"/>
    <x v="0"/>
    <d v="2024-04-03T00:00:00"/>
    <x v="0"/>
    <s v="Top trending tracks updated daily!"/>
    <n v="2762"/>
    <n v="339"/>
    <n v="323"/>
    <n v="33757"/>
    <n v="68511"/>
    <n v="121"/>
    <s v="#SoundtrackOfLife"/>
    <s v="#NowPlaying"/>
    <n v="0.10143081434961637"/>
    <n v="106"/>
    <n v="3424"/>
    <x v="0"/>
    <x v="2"/>
    <x v="0"/>
  </r>
  <r>
    <s v="SP169"/>
    <x v="2"/>
    <d v="2025-01-03T00:00:00"/>
    <x v="0"/>
    <s v="New music just dropped. Hit play!"/>
    <n v="3782"/>
    <n v="484"/>
    <n v="144"/>
    <n v="52172"/>
    <n v="59386"/>
    <n v="175"/>
    <s v="#DiscoverWeekly"/>
    <s v="#SpotifyWrapped"/>
    <n v="8.4528099363643333E-2"/>
    <n v="157"/>
    <n v="4410"/>
    <x v="0"/>
    <x v="2"/>
    <x v="0"/>
  </r>
  <r>
    <s v="SP170"/>
    <x v="1"/>
    <d v="2024-11-23T00:00:00"/>
    <x v="0"/>
    <s v="New music just dropped. Hit play!"/>
    <n v="4318"/>
    <n v="371"/>
    <n v="329"/>
    <n v="32347"/>
    <n v="68956"/>
    <n v="259"/>
    <s v="#SoundtrackOfLife"/>
    <m/>
    <n v="0.15513030574705536"/>
    <n v="33"/>
    <n v="5018"/>
    <x v="0"/>
    <x v="2"/>
    <x v="0"/>
  </r>
  <r>
    <s v="SP171"/>
    <x v="0"/>
    <d v="2024-09-01T00:00:00"/>
    <x v="1"/>
    <s v="Wrapped is here! Relive your top tracks "/>
    <n v="2335"/>
    <n v="150"/>
    <n v="75"/>
    <n v="26114"/>
    <n v="57549"/>
    <n v="135"/>
    <s v="#NowPlaying"/>
    <m/>
    <n v="9.8031707130274953E-2"/>
    <n v="114"/>
    <n v="2560"/>
    <x v="0"/>
    <x v="2"/>
    <x v="0"/>
  </r>
  <r>
    <s v="SP172"/>
    <x v="2"/>
    <d v="2024-04-18T00:00:00"/>
    <x v="0"/>
    <s v="Explore the latest podcasts now."/>
    <n v="4023"/>
    <n v="293"/>
    <n v="91"/>
    <n v="26795"/>
    <n v="28924"/>
    <n v="278"/>
    <s v="#DiscoverWeekly"/>
    <s v="#SpotifyWrapped"/>
    <n v="0.16447098339242397"/>
    <n v="23"/>
    <n v="4407"/>
    <x v="0"/>
    <x v="2"/>
    <x v="0"/>
  </r>
  <r>
    <s v="SP173"/>
    <x v="0"/>
    <d v="2024-06-04T00:00:00"/>
    <x v="0"/>
    <s v="Get into the groove with our new drop!"/>
    <n v="3948"/>
    <n v="151"/>
    <n v="249"/>
    <n v="43147"/>
    <n v="63136"/>
    <n v="230"/>
    <s v="#DiscoverWeekly"/>
    <m/>
    <n v="0.10077178019329269"/>
    <n v="108"/>
    <n v="4348"/>
    <x v="0"/>
    <x v="2"/>
    <x v="0"/>
  </r>
  <r>
    <s v="SP174"/>
    <x v="2"/>
    <d v="2025-04-02T00:00:00"/>
    <x v="0"/>
    <s v="Wrapped is here! Relive your top tracks "/>
    <n v="4598"/>
    <n v="455"/>
    <n v="378"/>
    <n v="52952"/>
    <n v="58504"/>
    <n v="269"/>
    <s v="#DiscoverWeekly"/>
    <s v="#SpotifyWrapped"/>
    <n v="0.10256458679558846"/>
    <n v="103"/>
    <n v="5431"/>
    <x v="0"/>
    <x v="0"/>
    <x v="0"/>
  </r>
  <r>
    <s v="SP175"/>
    <x v="1"/>
    <d v="2025-04-01T00:00:00"/>
    <x v="1"/>
    <s v="Music that moves you-only on Spotify."/>
    <n v="2665"/>
    <n v="143"/>
    <n v="315"/>
    <n v="54808"/>
    <n v="29818"/>
    <n v="98"/>
    <s v="#DiscoverWeekly"/>
    <s v="#MusicForEveryone"/>
    <n v="5.6980732739746021E-2"/>
    <n v="233"/>
    <n v="3123"/>
    <x v="0"/>
    <x v="0"/>
    <x v="0"/>
  </r>
  <r>
    <s v="SP176"/>
    <x v="0"/>
    <d v="2024-07-02T00:00:00"/>
    <x v="0"/>
    <s v="Top trending tracks updated daily!"/>
    <n v="3469"/>
    <n v="371"/>
    <n v="76"/>
    <n v="46493"/>
    <n v="26906"/>
    <n v="150"/>
    <s v="#SoundtrackOfLife"/>
    <s v="#NowPlaying"/>
    <n v="8.4227733207149463E-2"/>
    <n v="159"/>
    <n v="3916"/>
    <x v="3"/>
    <x v="2"/>
    <x v="1"/>
  </r>
  <r>
    <s v="SP177"/>
    <x v="1"/>
    <d v="2024-11-10T00:00:00"/>
    <x v="0"/>
    <s v="Explore the latest podcasts now."/>
    <n v="4823"/>
    <n v="489"/>
    <n v="302"/>
    <n v="32470"/>
    <n v="31861"/>
    <n v="178"/>
    <s v="#SoundtrackOfLife"/>
    <m/>
    <n v="0.1728980597474592"/>
    <n v="16"/>
    <n v="5614"/>
    <x v="0"/>
    <x v="2"/>
    <x v="0"/>
  </r>
  <r>
    <s v="SP178"/>
    <x v="0"/>
    <d v="2024-12-14T00:00:00"/>
    <x v="1"/>
    <s v="From pop to podcasts, it's all here."/>
    <n v="3812"/>
    <n v="321"/>
    <n v="289"/>
    <n v="59838"/>
    <n v="36337"/>
    <n v="161"/>
    <s v="#NowPlaying"/>
    <m/>
    <n v="7.3899528727564417E-2"/>
    <n v="192"/>
    <n v="4422"/>
    <x v="2"/>
    <x v="2"/>
    <x v="1"/>
  </r>
  <r>
    <s v="SP179"/>
    <x v="1"/>
    <d v="2024-11-19T00:00:00"/>
    <x v="0"/>
    <s v="Explore the latest podcasts now."/>
    <n v="2387"/>
    <n v="353"/>
    <n v="78"/>
    <n v="39745"/>
    <n v="69226"/>
    <n v="208"/>
    <s v="#SoundtrackOfLife"/>
    <m/>
    <n v="7.090200025160398E-2"/>
    <n v="199"/>
    <n v="2818"/>
    <x v="0"/>
    <x v="2"/>
    <x v="0"/>
  </r>
  <r>
    <s v="SP180"/>
    <x v="1"/>
    <d v="2025-04-30T00:00:00"/>
    <x v="1"/>
    <s v="Wrapped is here! Relive your top tracks "/>
    <n v="3929"/>
    <n v="275"/>
    <n v="330"/>
    <n v="58329"/>
    <n v="33196"/>
    <n v="85"/>
    <s v="#MusicForEveryone"/>
    <s v="#NowPlaying"/>
    <n v="7.7731488624869283E-2"/>
    <n v="183"/>
    <n v="4534"/>
    <x v="0"/>
    <x v="0"/>
    <x v="0"/>
  </r>
  <r>
    <s v="SP181"/>
    <x v="1"/>
    <d v="2024-03-19T00:00:00"/>
    <x v="0"/>
    <s v="From pop to podcasts, it's all here."/>
    <n v="2191"/>
    <n v="288"/>
    <n v="83"/>
    <n v="59606"/>
    <n v="24765"/>
    <n v="281"/>
    <s v="#SoundtrackOfLife"/>
    <m/>
    <n v="4.2982250109049422E-2"/>
    <n v="272"/>
    <n v="2562"/>
    <x v="0"/>
    <x v="2"/>
    <x v="0"/>
  </r>
  <r>
    <s v="SP182"/>
    <x v="0"/>
    <d v="2024-03-19T00:00:00"/>
    <x v="0"/>
    <s v="From pop to podcasts, it's all here."/>
    <n v="2878"/>
    <n v="278"/>
    <n v="255"/>
    <n v="47235"/>
    <n v="57922"/>
    <n v="112"/>
    <s v="#SoundtrackOfLife"/>
    <s v="#NowPlaying"/>
    <n v="7.2213401079707848E-2"/>
    <n v="195"/>
    <n v="3411"/>
    <x v="0"/>
    <x v="2"/>
    <x v="0"/>
  </r>
  <r>
    <s v="SP183"/>
    <x v="1"/>
    <d v="2024-07-23T00:00:00"/>
    <x v="0"/>
    <s v="Top trending tracks updated daily!"/>
    <n v="3204"/>
    <n v="398"/>
    <n v="85"/>
    <n v="22020"/>
    <n v="58353"/>
    <n v="286"/>
    <s v="#SoundtrackOfLife"/>
    <m/>
    <n v="0.16743869209809265"/>
    <n v="19"/>
    <n v="3687"/>
    <x v="0"/>
    <x v="2"/>
    <x v="0"/>
  </r>
  <r>
    <s v="SP184"/>
    <x v="1"/>
    <d v="2024-07-13T00:00:00"/>
    <x v="1"/>
    <s v="Get into the groove with our new drop!"/>
    <n v="2408"/>
    <n v="323"/>
    <n v="251"/>
    <n v="47599"/>
    <n v="35543"/>
    <n v="287"/>
    <s v="#MusicForEveryone"/>
    <s v="#NowPlaying"/>
    <n v="6.2648374965860634E-2"/>
    <n v="217"/>
    <n v="2982"/>
    <x v="3"/>
    <x v="2"/>
    <x v="1"/>
  </r>
  <r>
    <s v="SP185"/>
    <x v="2"/>
    <d v="2025-04-22T00:00:00"/>
    <x v="2"/>
    <s v="New music just dropped. Hit play!"/>
    <n v="2733"/>
    <n v="297"/>
    <n v="235"/>
    <n v="37980"/>
    <n v="33058"/>
    <n v="219"/>
    <s v="#DiscoverWeekly"/>
    <s v="#SoundtrackOfLife"/>
    <n v="8.5966298051606105E-2"/>
    <n v="152"/>
    <n v="3265"/>
    <x v="0"/>
    <x v="0"/>
    <x v="0"/>
  </r>
  <r>
    <s v="SP186"/>
    <x v="1"/>
    <d v="2024-06-16T00:00:00"/>
    <x v="1"/>
    <s v="Explore the latest podcasts now."/>
    <n v="4618"/>
    <n v="312"/>
    <n v="254"/>
    <n v="22571"/>
    <n v="29453"/>
    <n v="197"/>
    <s v="#MusicForEveryone"/>
    <s v="#NowPlaying"/>
    <n v="0.22967524699836073"/>
    <n v="3"/>
    <n v="5184"/>
    <x v="3"/>
    <x v="2"/>
    <x v="1"/>
  </r>
  <r>
    <s v="SP187"/>
    <x v="2"/>
    <d v="2025-05-18T00:00:00"/>
    <x v="2"/>
    <s v="Wrapped is here! Relive your top tracks "/>
    <n v="4210"/>
    <n v="319"/>
    <n v="350"/>
    <n v="37762"/>
    <n v="55162"/>
    <n v="204"/>
    <s v="#DiscoverWeekly"/>
    <s v="#SoundtrackOfLife"/>
    <n v="0.12920396165457337"/>
    <n v="58"/>
    <n v="4879"/>
    <x v="0"/>
    <x v="0"/>
    <x v="0"/>
  </r>
  <r>
    <s v="SP188"/>
    <x v="0"/>
    <d v="2025-06-06T00:00:00"/>
    <x v="0"/>
    <s v="Wrapped is here! Relive your top tracks "/>
    <n v="3987"/>
    <n v="171"/>
    <n v="274"/>
    <n v="45122"/>
    <n v="65431"/>
    <n v="168"/>
    <s v="#DiscoverWeekly"/>
    <m/>
    <n v="9.8222596516111871E-2"/>
    <n v="111"/>
    <n v="4432"/>
    <x v="0"/>
    <x v="0"/>
    <x v="0"/>
  </r>
  <r>
    <s v="SP189"/>
    <x v="2"/>
    <d v="2025-02-20T00:00:00"/>
    <x v="2"/>
    <s v="Get into the groove with our new drop!"/>
    <n v="4957"/>
    <n v="262"/>
    <n v="365"/>
    <n v="49199"/>
    <n v="40314"/>
    <n v="216"/>
    <s v="#DiscoverWeekly"/>
    <s v="#SoundtrackOfLife"/>
    <n v="0.11349824183418362"/>
    <n v="74"/>
    <n v="5584"/>
    <x v="0"/>
    <x v="0"/>
    <x v="0"/>
  </r>
  <r>
    <s v="SP190"/>
    <x v="0"/>
    <d v="2025-01-16T00:00:00"/>
    <x v="0"/>
    <s v="Music that moves you-only on Spotify."/>
    <n v="2605"/>
    <n v="282"/>
    <n v="148"/>
    <n v="32201"/>
    <n v="49583"/>
    <n v="241"/>
    <s v="#SoundtrackOfLife"/>
    <s v="#NowPlaying"/>
    <n v="9.4251731312692155E-2"/>
    <n v="124"/>
    <n v="3035"/>
    <x v="1"/>
    <x v="1"/>
    <x v="1"/>
  </r>
  <r>
    <s v="SP191"/>
    <x v="2"/>
    <d v="2024-02-24T00:00:00"/>
    <x v="2"/>
    <s v="Discover fresh beats on Spotify!"/>
    <n v="4221"/>
    <n v="307"/>
    <n v="58"/>
    <n v="45080"/>
    <n v="37214"/>
    <n v="240"/>
    <s v="#DiscoverWeekly"/>
    <s v="#SoundtrackOfLife"/>
    <n v="0.10173025732031943"/>
    <n v="105"/>
    <n v="4586"/>
    <x v="0"/>
    <x v="2"/>
    <x v="0"/>
  </r>
  <r>
    <s v="SP192"/>
    <x v="1"/>
    <d v="2024-09-16T00:00:00"/>
    <x v="1"/>
    <s v="What's your vibe today? #SpotifyHits"/>
    <n v="4422"/>
    <n v="434"/>
    <n v="156"/>
    <n v="56165"/>
    <n v="52431"/>
    <n v="173"/>
    <s v="#DiscoverWeekly"/>
    <s v="#MusicForEveryone"/>
    <n v="8.9237069349238848E-2"/>
    <n v="139"/>
    <n v="5012"/>
    <x v="0"/>
    <x v="2"/>
    <x v="0"/>
  </r>
  <r>
    <s v="SP193"/>
    <x v="2"/>
    <d v="2024-06-04T00:00:00"/>
    <x v="2"/>
    <s v="Wrapped is here! Relive your top tracks "/>
    <n v="1211"/>
    <n v="431"/>
    <n v="83"/>
    <n v="26532"/>
    <n v="47305"/>
    <n v="232"/>
    <s v="#DiscoverWeekly"/>
    <s v="#SoundtrackOfLife"/>
    <n v="6.5015829941203071E-2"/>
    <n v="211"/>
    <n v="1725"/>
    <x v="0"/>
    <x v="2"/>
    <x v="0"/>
  </r>
  <r>
    <s v="SP194"/>
    <x v="1"/>
    <d v="2024-05-10T00:00:00"/>
    <x v="1"/>
    <s v="Explore the latest podcasts now."/>
    <n v="2784"/>
    <n v="111"/>
    <n v="399"/>
    <n v="58366"/>
    <n v="69512"/>
    <n v="269"/>
    <s v="#MusicForEveryone"/>
    <s v="#NowPlaying"/>
    <n v="5.6436966727204191E-2"/>
    <n v="234"/>
    <n v="3294"/>
    <x v="0"/>
    <x v="2"/>
    <x v="0"/>
  </r>
  <r>
    <s v="SP195"/>
    <x v="2"/>
    <d v="2024-01-14T00:00:00"/>
    <x v="0"/>
    <s v="New music just dropped. Hit play!"/>
    <n v="3634"/>
    <n v="280"/>
    <n v="399"/>
    <n v="40256"/>
    <n v="52605"/>
    <n v="213"/>
    <s v="#DiscoverWeekly"/>
    <s v="#SpotifyWrapped"/>
    <n v="0.10713930842607314"/>
    <n v="91"/>
    <n v="4313"/>
    <x v="0"/>
    <x v="2"/>
    <x v="0"/>
  </r>
  <r>
    <s v="SP196"/>
    <x v="0"/>
    <d v="2025-01-12T00:00:00"/>
    <x v="0"/>
    <s v="From pop to podcasts, it's all here."/>
    <n v="1771"/>
    <n v="487"/>
    <n v="272"/>
    <n v="48810"/>
    <n v="48084"/>
    <n v="272"/>
    <s v="#SoundtrackOfLife"/>
    <s v="#NowPlaying"/>
    <n v="5.1833640647408315E-2"/>
    <n v="250"/>
    <n v="2530"/>
    <x v="1"/>
    <x v="1"/>
    <x v="1"/>
  </r>
  <r>
    <s v="SP197"/>
    <x v="2"/>
    <d v="2024-12-08T00:00:00"/>
    <x v="0"/>
    <s v="Top trending tracks updated daily!"/>
    <n v="1424"/>
    <n v="396"/>
    <n v="312"/>
    <n v="59517"/>
    <n v="46102"/>
    <n v="239"/>
    <s v="#DiscoverWeekly"/>
    <s v="#SpotifyWrapped"/>
    <n v="3.5821698002251455E-2"/>
    <n v="284"/>
    <n v="2132"/>
    <x v="2"/>
    <x v="2"/>
    <x v="1"/>
  </r>
  <r>
    <s v="SP198"/>
    <x v="1"/>
    <d v="2025-02-01T00:00:00"/>
    <x v="1"/>
    <s v="Top trending tracks updated daily!"/>
    <n v="1079"/>
    <n v="265"/>
    <n v="190"/>
    <n v="43786"/>
    <n v="72428"/>
    <n v="222"/>
    <s v="#SoundtrackOfLife"/>
    <s v="#NowPlaying"/>
    <n v="3.5034029141734799E-2"/>
    <n v="287"/>
    <n v="1534"/>
    <x v="1"/>
    <x v="1"/>
    <x v="1"/>
  </r>
  <r>
    <s v="SP199"/>
    <x v="1"/>
    <d v="2024-07-11T00:00:00"/>
    <x v="1"/>
    <s v="Get into the groove with our new drop!"/>
    <n v="4247"/>
    <n v="179"/>
    <n v="175"/>
    <n v="32991"/>
    <n v="70120"/>
    <n v="276"/>
    <s v="#SoundtrackOfLife"/>
    <s v="#NowPlaying"/>
    <n v="0.13946227759085811"/>
    <n v="47"/>
    <n v="4601"/>
    <x v="3"/>
    <x v="2"/>
    <x v="1"/>
  </r>
  <r>
    <s v="SP200"/>
    <x v="1"/>
    <d v="2024-03-18T00:00:00"/>
    <x v="0"/>
    <s v="New music just dropped. Hit play!"/>
    <n v="2033"/>
    <n v="420"/>
    <n v="94"/>
    <n v="56290"/>
    <n v="57391"/>
    <n v="196"/>
    <s v="#NowPlaying"/>
    <m/>
    <n v="4.5247823769763724E-2"/>
    <n v="265"/>
    <n v="2547"/>
    <x v="0"/>
    <x v="2"/>
    <x v="0"/>
  </r>
  <r>
    <s v="SP201"/>
    <x v="1"/>
    <d v="2024-09-12T00:00:00"/>
    <x v="1"/>
    <s v="Wrapped is here! Relive your top tracks "/>
    <n v="1839"/>
    <n v="223"/>
    <n v="171"/>
    <n v="35459"/>
    <n v="69988"/>
    <n v="114"/>
    <s v="#MusicForEveryone"/>
    <s v="#NowPlaying"/>
    <n v="6.2974139146620034E-2"/>
    <n v="216"/>
    <n v="2233"/>
    <x v="0"/>
    <x v="2"/>
    <x v="0"/>
  </r>
  <r>
    <s v="SP202"/>
    <x v="1"/>
    <d v="2024-01-11T00:00:00"/>
    <x v="1"/>
    <s v="Wrapped is here! Relive your top tracks "/>
    <n v="2340"/>
    <n v="141"/>
    <n v="206"/>
    <n v="24916"/>
    <n v="30582"/>
    <n v="157"/>
    <s v="#SoundtrackOfLife"/>
    <s v="#NowPlaying"/>
    <n v="0.10784235029699792"/>
    <n v="88"/>
    <n v="2687"/>
    <x v="0"/>
    <x v="2"/>
    <x v="0"/>
  </r>
  <r>
    <s v="SP203"/>
    <x v="0"/>
    <d v="2024-10-06T00:00:00"/>
    <x v="0"/>
    <s v="Top trending tracks updated daily!"/>
    <n v="2080"/>
    <n v="389"/>
    <n v="92"/>
    <n v="30971"/>
    <n v="25347"/>
    <n v="111"/>
    <s v="#DiscoverWeekly"/>
    <m/>
    <n v="8.2690258629040073E-2"/>
    <n v="167"/>
    <n v="2561"/>
    <x v="0"/>
    <x v="2"/>
    <x v="0"/>
  </r>
  <r>
    <s v="SP204"/>
    <x v="1"/>
    <d v="2024-12-30T00:00:00"/>
    <x v="0"/>
    <s v="Get into the groove with our new drop!"/>
    <n v="4214"/>
    <n v="286"/>
    <n v="127"/>
    <n v="47293"/>
    <n v="27184"/>
    <n v="232"/>
    <s v="#NowPlaying"/>
    <m/>
    <n v="9.7836889180216949E-2"/>
    <n v="115"/>
    <n v="4627"/>
    <x v="2"/>
    <x v="2"/>
    <x v="1"/>
  </r>
  <r>
    <s v="SP205"/>
    <x v="1"/>
    <d v="2025-04-16T00:00:00"/>
    <x v="0"/>
    <s v="Wrapped is here! Relive your top tracks "/>
    <n v="3792"/>
    <n v="315"/>
    <n v="120"/>
    <n v="54592"/>
    <n v="67886"/>
    <n v="117"/>
    <s v="#SoundtrackOfLife"/>
    <m/>
    <n v="7.7428927315357568E-2"/>
    <n v="184"/>
    <n v="4227"/>
    <x v="0"/>
    <x v="0"/>
    <x v="0"/>
  </r>
  <r>
    <s v="SP206"/>
    <x v="1"/>
    <d v="2024-08-21T00:00:00"/>
    <x v="1"/>
    <s v="Explore the latest podcasts now."/>
    <n v="3989"/>
    <n v="476"/>
    <n v="128"/>
    <n v="57569"/>
    <n v="40193"/>
    <n v="222"/>
    <s v="#DiscoverWeekly"/>
    <s v="#MusicForEveryone"/>
    <n v="7.9782521843353188E-2"/>
    <n v="180"/>
    <n v="4593"/>
    <x v="0"/>
    <x v="2"/>
    <x v="0"/>
  </r>
  <r>
    <s v="SP207"/>
    <x v="1"/>
    <d v="2024-04-05T00:00:00"/>
    <x v="1"/>
    <s v="Wrapped is here! Relive your top tracks "/>
    <n v="2857"/>
    <n v="443"/>
    <n v="359"/>
    <n v="51519"/>
    <n v="28256"/>
    <n v="155"/>
    <s v="#SoundtrackOfLife"/>
    <s v="#NowPlaying"/>
    <n v="7.1022341272152026E-2"/>
    <n v="198"/>
    <n v="3659"/>
    <x v="0"/>
    <x v="2"/>
    <x v="0"/>
  </r>
  <r>
    <s v="SP208"/>
    <x v="1"/>
    <d v="2025-04-07T00:00:00"/>
    <x v="0"/>
    <s v="From pop to podcasts, it's all here."/>
    <n v="1403"/>
    <n v="385"/>
    <n v="344"/>
    <n v="54223"/>
    <n v="72595"/>
    <n v="239"/>
    <s v="#SoundtrackOfLife"/>
    <m/>
    <n v="3.9319108127547353E-2"/>
    <n v="279"/>
    <n v="2132"/>
    <x v="0"/>
    <x v="0"/>
    <x v="0"/>
  </r>
  <r>
    <s v="SP209"/>
    <x v="1"/>
    <d v="2024-07-19T00:00:00"/>
    <x v="1"/>
    <s v="What's your vibe today? #SpotifyHits"/>
    <n v="3071"/>
    <n v="126"/>
    <n v="200"/>
    <n v="44013"/>
    <n v="44679"/>
    <n v="118"/>
    <s v="#DiscoverWeekly"/>
    <s v="#MusicForEveryone"/>
    <n v="7.7181741758116915E-2"/>
    <n v="185"/>
    <n v="3397"/>
    <x v="0"/>
    <x v="2"/>
    <x v="0"/>
  </r>
  <r>
    <s v="SP210"/>
    <x v="1"/>
    <d v="2025-05-03T00:00:00"/>
    <x v="1"/>
    <s v="Top trending tracks updated daily!"/>
    <n v="1010"/>
    <n v="361"/>
    <n v="240"/>
    <n v="47229"/>
    <n v="72573"/>
    <n v="275"/>
    <s v="#SoundtrackOfLife"/>
    <s v="#NowPlaying"/>
    <n v="3.4110398272247981E-2"/>
    <n v="291"/>
    <n v="1611"/>
    <x v="0"/>
    <x v="0"/>
    <x v="0"/>
  </r>
  <r>
    <s v="SP211"/>
    <x v="1"/>
    <d v="2024-04-14T00:00:00"/>
    <x v="1"/>
    <s v="Discover fresh beats on Spotify!"/>
    <n v="1295"/>
    <n v="153"/>
    <n v="81"/>
    <n v="48350"/>
    <n v="61033"/>
    <n v="232"/>
    <s v="#DiscoverWeekly"/>
    <s v="#MusicForEveryone"/>
    <n v="3.1623578076525334E-2"/>
    <n v="296"/>
    <n v="1529"/>
    <x v="0"/>
    <x v="2"/>
    <x v="0"/>
  </r>
  <r>
    <s v="SP212"/>
    <x v="1"/>
    <d v="2025-06-19T00:00:00"/>
    <x v="1"/>
    <s v="What's your vibe today? #SpotifyHits"/>
    <n v="1433"/>
    <n v="452"/>
    <n v="305"/>
    <n v="54541"/>
    <n v="63700"/>
    <n v="296"/>
    <s v="#DiscoverWeekly"/>
    <s v="#MusicForEveryone"/>
    <n v="4.0153279184466734E-2"/>
    <n v="275"/>
    <n v="2190"/>
    <x v="0"/>
    <x v="0"/>
    <x v="0"/>
  </r>
  <r>
    <s v="SP213"/>
    <x v="0"/>
    <d v="2025-06-24T00:00:00"/>
    <x v="1"/>
    <s v="Get into the groove with our new drop!"/>
    <n v="4902"/>
    <n v="422"/>
    <n v="376"/>
    <n v="31674"/>
    <n v="53225"/>
    <n v="147"/>
    <s v="#NowPlaying"/>
    <m/>
    <n v="0.17995832544042431"/>
    <n v="12"/>
    <n v="5700"/>
    <x v="0"/>
    <x v="0"/>
    <x v="0"/>
  </r>
  <r>
    <s v="SP214"/>
    <x v="1"/>
    <d v="2024-10-09T00:00:00"/>
    <x v="0"/>
    <s v="Wrapped is here! Relive your top tracks "/>
    <n v="2659"/>
    <n v="167"/>
    <n v="73"/>
    <n v="23090"/>
    <n v="25872"/>
    <n v="293"/>
    <s v="#SoundtrackOfLife"/>
    <m/>
    <n v="0.12555218709398008"/>
    <n v="60"/>
    <n v="2899"/>
    <x v="0"/>
    <x v="2"/>
    <x v="0"/>
  </r>
  <r>
    <s v="SP215"/>
    <x v="2"/>
    <d v="2025-01-15T00:00:00"/>
    <x v="0"/>
    <s v="Your weekend playlist is waiting."/>
    <n v="2599"/>
    <n v="324"/>
    <n v="182"/>
    <n v="37525"/>
    <n v="37216"/>
    <n v="186"/>
    <s v="#DiscoverWeekly"/>
    <s v="#SpotifyWrapped"/>
    <n v="8.2744836775483013E-2"/>
    <n v="166"/>
    <n v="3105"/>
    <x v="1"/>
    <x v="1"/>
    <x v="1"/>
  </r>
  <r>
    <s v="SP216"/>
    <x v="1"/>
    <d v="2025-01-12T00:00:00"/>
    <x v="0"/>
    <s v="Music that moves you-only on Spotify."/>
    <n v="1765"/>
    <n v="285"/>
    <n v="100"/>
    <n v="41313"/>
    <n v="56575"/>
    <n v="174"/>
    <s v="#SoundtrackOfLife"/>
    <m/>
    <n v="5.2041730205988429E-2"/>
    <n v="248"/>
    <n v="2150"/>
    <x v="1"/>
    <x v="1"/>
    <x v="1"/>
  </r>
  <r>
    <s v="SP217"/>
    <x v="0"/>
    <d v="2025-05-31T00:00:00"/>
    <x v="0"/>
    <s v="What's your vibe today? #SpotifyHits"/>
    <n v="2169"/>
    <n v="240"/>
    <n v="57"/>
    <n v="26109"/>
    <n v="46667"/>
    <n v="133"/>
    <s v="#SoundtrackOfLife"/>
    <s v="#NowPlaying"/>
    <n v="9.4450189589796618E-2"/>
    <n v="122"/>
    <n v="2466"/>
    <x v="0"/>
    <x v="0"/>
    <x v="0"/>
  </r>
  <r>
    <s v="SP218"/>
    <x v="1"/>
    <d v="2024-10-14T00:00:00"/>
    <x v="1"/>
    <s v="Explore the latest podcasts now."/>
    <n v="4303"/>
    <n v="306"/>
    <n v="302"/>
    <n v="39575"/>
    <n v="33762"/>
    <n v="265"/>
    <s v="#DiscoverWeekly"/>
    <s v="#MusicForEveryone"/>
    <n v="0.12409349336702463"/>
    <n v="61"/>
    <n v="4911"/>
    <x v="0"/>
    <x v="2"/>
    <x v="0"/>
  </r>
  <r>
    <s v="SP219"/>
    <x v="1"/>
    <d v="2024-02-10T00:00:00"/>
    <x v="0"/>
    <s v="From pop to podcasts, it's all here."/>
    <n v="1519"/>
    <n v="456"/>
    <n v="379"/>
    <n v="51611"/>
    <n v="45880"/>
    <n v="176"/>
    <s v="#SoundtrackOfLife"/>
    <m/>
    <n v="4.5610431884675749E-2"/>
    <n v="264"/>
    <n v="2354"/>
    <x v="0"/>
    <x v="2"/>
    <x v="0"/>
  </r>
  <r>
    <s v="SP220"/>
    <x v="2"/>
    <d v="2024-12-10T00:00:00"/>
    <x v="0"/>
    <s v="What's your vibe today? #SpotifyHits"/>
    <n v="2569"/>
    <n v="140"/>
    <n v="375"/>
    <n v="38372"/>
    <n v="22102"/>
    <n v="255"/>
    <s v="#DiscoverWeekly"/>
    <s v="#SpotifyWrapped"/>
    <n v="8.0371103929948923E-2"/>
    <n v="177"/>
    <n v="3084"/>
    <x v="2"/>
    <x v="2"/>
    <x v="1"/>
  </r>
  <r>
    <s v="SP221"/>
    <x v="1"/>
    <d v="2025-05-09T00:00:00"/>
    <x v="1"/>
    <s v="Music that moves you-only on Spotify."/>
    <n v="2778"/>
    <n v="241"/>
    <n v="317"/>
    <n v="26247"/>
    <n v="20677"/>
    <n v="282"/>
    <s v="#MusicForEveryone"/>
    <s v="#NowPlaying"/>
    <n v="0.1271002400274317"/>
    <n v="59"/>
    <n v="3336"/>
    <x v="0"/>
    <x v="0"/>
    <x v="0"/>
  </r>
  <r>
    <s v="SP222"/>
    <x v="1"/>
    <d v="2025-06-21T00:00:00"/>
    <x v="0"/>
    <s v="Explore the latest podcasts now."/>
    <n v="3611"/>
    <n v="127"/>
    <n v="139"/>
    <n v="44768"/>
    <n v="29435"/>
    <n v="178"/>
    <s v="#NowPlaying"/>
    <m/>
    <n v="8.6602037169406718E-2"/>
    <n v="148"/>
    <n v="3877"/>
    <x v="0"/>
    <x v="0"/>
    <x v="0"/>
  </r>
  <r>
    <s v="SP223"/>
    <x v="1"/>
    <d v="2024-06-19T00:00:00"/>
    <x v="0"/>
    <s v="What's your vibe today? #SpotifyHits"/>
    <n v="1224"/>
    <n v="168"/>
    <n v="199"/>
    <n v="54232"/>
    <n v="52844"/>
    <n v="271"/>
    <s v="#SoundtrackOfLife"/>
    <m/>
    <n v="2.9336922849977874E-2"/>
    <n v="297"/>
    <n v="1591"/>
    <x v="3"/>
    <x v="2"/>
    <x v="1"/>
  </r>
  <r>
    <s v="SP224"/>
    <x v="1"/>
    <d v="2024-12-10T00:00:00"/>
    <x v="0"/>
    <s v="From pop to podcasts, it's all here."/>
    <n v="4673"/>
    <n v="270"/>
    <n v="93"/>
    <n v="45260"/>
    <n v="57513"/>
    <n v="103"/>
    <s v="#NowPlaying"/>
    <m/>
    <n v="0.11126822801590809"/>
    <n v="78"/>
    <n v="5036"/>
    <x v="2"/>
    <x v="2"/>
    <x v="1"/>
  </r>
  <r>
    <s v="SP225"/>
    <x v="2"/>
    <d v="2024-02-01T00:00:00"/>
    <x v="0"/>
    <s v="Wrapped is here! Relive your top tracks "/>
    <n v="1432"/>
    <n v="437"/>
    <n v="267"/>
    <n v="40634"/>
    <n v="54511"/>
    <n v="197"/>
    <s v="#DiscoverWeekly"/>
    <s v="#SpotifyWrapped"/>
    <n v="5.2566815966924252E-2"/>
    <n v="244"/>
    <n v="2136"/>
    <x v="0"/>
    <x v="2"/>
    <x v="0"/>
  </r>
  <r>
    <s v="SP226"/>
    <x v="1"/>
    <d v="2024-01-17T00:00:00"/>
    <x v="1"/>
    <s v="New music just dropped. Hit play!"/>
    <n v="2174"/>
    <n v="499"/>
    <n v="212"/>
    <n v="54938"/>
    <n v="27190"/>
    <n v="265"/>
    <s v="#MusicForEveryone"/>
    <s v="#NowPlaying"/>
    <n v="5.2513742764570971E-2"/>
    <n v="245"/>
    <n v="2885"/>
    <x v="0"/>
    <x v="2"/>
    <x v="0"/>
  </r>
  <r>
    <s v="SP227"/>
    <x v="2"/>
    <d v="2025-03-22T00:00:00"/>
    <x v="0"/>
    <s v="Music that moves you-only on Spotify."/>
    <n v="4308"/>
    <n v="171"/>
    <n v="106"/>
    <n v="36955"/>
    <n v="23949"/>
    <n v="294"/>
    <s v="#DiscoverWeekly"/>
    <s v="#SpotifyWrapped"/>
    <n v="0.12406981463942633"/>
    <n v="62"/>
    <n v="4585"/>
    <x v="4"/>
    <x v="0"/>
    <x v="1"/>
  </r>
  <r>
    <s v="SP228"/>
    <x v="2"/>
    <d v="2024-05-30T00:00:00"/>
    <x v="2"/>
    <s v="What's your vibe today? #SpotifyHits"/>
    <n v="1060"/>
    <n v="442"/>
    <n v="319"/>
    <n v="57194"/>
    <n v="24258"/>
    <n v="101"/>
    <s v="#DiscoverWeekly"/>
    <s v="#SoundtrackOfLife"/>
    <n v="3.1839004091338254E-2"/>
    <n v="295"/>
    <n v="1821"/>
    <x v="0"/>
    <x v="2"/>
    <x v="0"/>
  </r>
  <r>
    <s v="SP229"/>
    <x v="2"/>
    <d v="2024-02-24T00:00:00"/>
    <x v="0"/>
    <s v="Music that moves you-only on Spotify."/>
    <n v="4653"/>
    <n v="226"/>
    <n v="349"/>
    <n v="56876"/>
    <n v="28452"/>
    <n v="257"/>
    <s v="#DiscoverWeekly"/>
    <s v="#SpotifyWrapped"/>
    <n v="9.191926295801392E-2"/>
    <n v="136"/>
    <n v="5228"/>
    <x v="0"/>
    <x v="2"/>
    <x v="0"/>
  </r>
  <r>
    <s v="SP230"/>
    <x v="2"/>
    <d v="2025-05-14T00:00:00"/>
    <x v="0"/>
    <s v="Discover fresh beats on Spotify!"/>
    <n v="1701"/>
    <n v="272"/>
    <n v="385"/>
    <n v="47496"/>
    <n v="40832"/>
    <n v="246"/>
    <s v="#DiscoverWeekly"/>
    <s v="#SpotifyWrapped"/>
    <n v="4.9646286003031836E-2"/>
    <n v="257"/>
    <n v="2358"/>
    <x v="0"/>
    <x v="0"/>
    <x v="0"/>
  </r>
  <r>
    <s v="SP231"/>
    <x v="0"/>
    <d v="2024-03-28T00:00:00"/>
    <x v="0"/>
    <s v="What's your vibe today? #SpotifyHits"/>
    <n v="1673"/>
    <n v="280"/>
    <n v="67"/>
    <n v="29847"/>
    <n v="48016"/>
    <n v="213"/>
    <s v="#SoundtrackOfLife"/>
    <s v="#NowPlaying"/>
    <n v="6.76784936509532E-2"/>
    <n v="207"/>
    <n v="2020"/>
    <x v="0"/>
    <x v="2"/>
    <x v="0"/>
  </r>
  <r>
    <s v="SP232"/>
    <x v="2"/>
    <d v="2025-03-07T00:00:00"/>
    <x v="0"/>
    <s v="Top trending tracks updated daily!"/>
    <n v="4310"/>
    <n v="284"/>
    <n v="306"/>
    <n v="44606"/>
    <n v="42604"/>
    <n v="290"/>
    <s v="#DiscoverWeekly"/>
    <s v="#SpotifyWrapped"/>
    <n v="0.10985069273191947"/>
    <n v="84"/>
    <n v="4900"/>
    <x v="4"/>
    <x v="0"/>
    <x v="1"/>
  </r>
  <r>
    <s v="SP233"/>
    <x v="1"/>
    <d v="2024-10-20T00:00:00"/>
    <x v="0"/>
    <s v="From pop to podcasts, it's all here."/>
    <n v="2752"/>
    <n v="309"/>
    <n v="91"/>
    <n v="39038"/>
    <n v="28095"/>
    <n v="277"/>
    <s v="#NowPlaying"/>
    <m/>
    <n v="8.0741841282852611E-2"/>
    <n v="175"/>
    <n v="3152"/>
    <x v="0"/>
    <x v="2"/>
    <x v="0"/>
  </r>
  <r>
    <s v="SP234"/>
    <x v="1"/>
    <d v="2024-02-02T00:00:00"/>
    <x v="0"/>
    <s v="From pop to podcasts, it's all here."/>
    <n v="3818"/>
    <n v="115"/>
    <n v="286"/>
    <n v="25127"/>
    <n v="22277"/>
    <n v="263"/>
    <s v="#NowPlaying"/>
    <m/>
    <n v="0.16790703227603773"/>
    <n v="18"/>
    <n v="4219"/>
    <x v="0"/>
    <x v="2"/>
    <x v="0"/>
  </r>
  <r>
    <s v="SP235"/>
    <x v="2"/>
    <d v="2024-09-07T00:00:00"/>
    <x v="0"/>
    <s v="Your weekend playlist is waiting."/>
    <n v="2101"/>
    <n v="411"/>
    <n v="190"/>
    <n v="41791"/>
    <n v="57090"/>
    <n v="172"/>
    <s v="#DiscoverWeekly"/>
    <s v="#SpotifyWrapped"/>
    <n v="6.4655069273288512E-2"/>
    <n v="212"/>
    <n v="2702"/>
    <x v="0"/>
    <x v="2"/>
    <x v="0"/>
  </r>
  <r>
    <s v="SP236"/>
    <x v="0"/>
    <d v="2024-12-20T00:00:00"/>
    <x v="0"/>
    <s v="Discover fresh beats on Spotify!"/>
    <n v="2519"/>
    <n v="202"/>
    <n v="239"/>
    <n v="36245"/>
    <n v="48606"/>
    <n v="145"/>
    <s v="#DiscoverWeekly"/>
    <m/>
    <n v="8.1666436749896543E-2"/>
    <n v="170"/>
    <n v="2960"/>
    <x v="2"/>
    <x v="2"/>
    <x v="1"/>
  </r>
  <r>
    <s v="SP237"/>
    <x v="2"/>
    <d v="2024-01-14T00:00:00"/>
    <x v="0"/>
    <s v="What's your vibe today? #SpotifyHits"/>
    <n v="4502"/>
    <n v="238"/>
    <n v="386"/>
    <n v="39198"/>
    <n v="25050"/>
    <n v="297"/>
    <s v="#DiscoverWeekly"/>
    <s v="#SpotifyWrapped"/>
    <n v="0.13077197816215114"/>
    <n v="55"/>
    <n v="5126"/>
    <x v="0"/>
    <x v="2"/>
    <x v="0"/>
  </r>
  <r>
    <s v="SP238"/>
    <x v="0"/>
    <d v="2025-06-15T00:00:00"/>
    <x v="0"/>
    <s v="Explore the latest podcasts now."/>
    <n v="2478"/>
    <n v="427"/>
    <n v="242"/>
    <n v="59272"/>
    <n v="37833"/>
    <n v="214"/>
    <s v="#SoundtrackOfLife"/>
    <s v="#NowPlaying"/>
    <n v="5.3094209744904843E-2"/>
    <n v="242"/>
    <n v="3147"/>
    <x v="0"/>
    <x v="0"/>
    <x v="0"/>
  </r>
  <r>
    <s v="SP239"/>
    <x v="1"/>
    <d v="2024-12-13T00:00:00"/>
    <x v="1"/>
    <s v="New music just dropped. Hit play!"/>
    <n v="4984"/>
    <n v="300"/>
    <n v="338"/>
    <n v="32900"/>
    <n v="31691"/>
    <n v="160"/>
    <s v="#MusicForEveryone"/>
    <s v="#NowPlaying"/>
    <n v="0.17088145896656534"/>
    <n v="17"/>
    <n v="5622"/>
    <x v="2"/>
    <x v="2"/>
    <x v="1"/>
  </r>
  <r>
    <s v="SP240"/>
    <x v="2"/>
    <d v="2024-08-29T00:00:00"/>
    <x v="0"/>
    <s v="Wrapped is here! Relive your top tracks "/>
    <n v="4774"/>
    <n v="389"/>
    <n v="358"/>
    <n v="52346"/>
    <n v="30518"/>
    <n v="277"/>
    <s v="#DiscoverWeekly"/>
    <s v="#SpotifyWrapped"/>
    <n v="0.10547128720437092"/>
    <n v="97"/>
    <n v="5521"/>
    <x v="0"/>
    <x v="2"/>
    <x v="0"/>
  </r>
  <r>
    <s v="SP241"/>
    <x v="1"/>
    <d v="2024-09-15T00:00:00"/>
    <x v="0"/>
    <s v="Get into the groove with our new drop!"/>
    <n v="2145"/>
    <n v="340"/>
    <n v="85"/>
    <n v="53323"/>
    <n v="49938"/>
    <n v="104"/>
    <s v="#NowPlaying"/>
    <m/>
    <n v="4.819683813738912E-2"/>
    <n v="258"/>
    <n v="2570"/>
    <x v="0"/>
    <x v="2"/>
    <x v="0"/>
  </r>
  <r>
    <s v="SP242"/>
    <x v="1"/>
    <d v="2025-04-12T00:00:00"/>
    <x v="1"/>
    <s v="From pop to podcasts, it's all here."/>
    <n v="4315"/>
    <n v="208"/>
    <n v="273"/>
    <n v="35780"/>
    <n v="44349"/>
    <n v="133"/>
    <s v="#DiscoverWeekly"/>
    <s v="#MusicForEveryone"/>
    <n v="0.13404136389044158"/>
    <n v="52"/>
    <n v="4796"/>
    <x v="0"/>
    <x v="0"/>
    <x v="0"/>
  </r>
  <r>
    <s v="SP243"/>
    <x v="1"/>
    <d v="2024-12-10T00:00:00"/>
    <x v="1"/>
    <s v="Wrapped is here! Relive your top tracks "/>
    <n v="2267"/>
    <n v="230"/>
    <n v="243"/>
    <n v="27904"/>
    <n v="69771"/>
    <n v="255"/>
    <s v="#DiscoverWeekly"/>
    <s v="#MusicForEveryone"/>
    <n v="9.8193807339449546E-2"/>
    <n v="112"/>
    <n v="2740"/>
    <x v="2"/>
    <x v="2"/>
    <x v="1"/>
  </r>
  <r>
    <s v="SP244"/>
    <x v="2"/>
    <d v="2025-06-08T00:00:00"/>
    <x v="0"/>
    <s v="Music that moves you-only on Spotify."/>
    <n v="4375"/>
    <n v="303"/>
    <n v="294"/>
    <n v="57468"/>
    <n v="53397"/>
    <n v="159"/>
    <s v="#DiscoverWeekly"/>
    <s v="#SpotifyWrapped"/>
    <n v="8.6517714206166912E-2"/>
    <n v="150"/>
    <n v="4972"/>
    <x v="0"/>
    <x v="0"/>
    <x v="0"/>
  </r>
  <r>
    <s v="SP245"/>
    <x v="1"/>
    <d v="2025-01-09T00:00:00"/>
    <x v="1"/>
    <s v="Your weekend playlist is waiting."/>
    <n v="3817"/>
    <n v="284"/>
    <n v="204"/>
    <n v="46434"/>
    <n v="53396"/>
    <n v="104"/>
    <s v="#MusicForEveryone"/>
    <s v="#NowPlaying"/>
    <n v="9.2712236723090841E-2"/>
    <n v="130"/>
    <n v="4305"/>
    <x v="0"/>
    <x v="2"/>
    <x v="0"/>
  </r>
  <r>
    <s v="SP246"/>
    <x v="1"/>
    <d v="2024-07-08T00:00:00"/>
    <x v="1"/>
    <s v="Top trending tracks updated daily!"/>
    <n v="2981"/>
    <n v="258"/>
    <n v="168"/>
    <n v="20677"/>
    <n v="68290"/>
    <n v="130"/>
    <s v="#SoundtrackOfLife"/>
    <s v="#NowPlaying"/>
    <n v="0.16477245248343569"/>
    <n v="22"/>
    <n v="3407"/>
    <x v="3"/>
    <x v="2"/>
    <x v="1"/>
  </r>
  <r>
    <s v="SP247"/>
    <x v="1"/>
    <d v="2024-09-16T00:00:00"/>
    <x v="1"/>
    <s v="Your weekend playlist is waiting."/>
    <n v="3300"/>
    <n v="354"/>
    <n v="397"/>
    <n v="56773"/>
    <n v="72110"/>
    <n v="163"/>
    <s v="#DiscoverWeekly"/>
    <s v="#MusicForEveryone"/>
    <n v="7.1354340971940891E-2"/>
    <n v="197"/>
    <n v="4051"/>
    <x v="0"/>
    <x v="2"/>
    <x v="0"/>
  </r>
  <r>
    <s v="SP248"/>
    <x v="2"/>
    <d v="2024-06-14T00:00:00"/>
    <x v="2"/>
    <s v="Wrapped is here! Relive your top tracks "/>
    <n v="4722"/>
    <n v="310"/>
    <n v="344"/>
    <n v="27911"/>
    <n v="19000"/>
    <n v="225"/>
    <s v="#DiscoverWeekly"/>
    <s v="#SoundtrackOfLife"/>
    <n v="0.19261223173659131"/>
    <n v="8"/>
    <n v="5376"/>
    <x v="0"/>
    <x v="2"/>
    <x v="0"/>
  </r>
  <r>
    <s v="SP249"/>
    <x v="0"/>
    <d v="2024-03-06T00:00:00"/>
    <x v="0"/>
    <s v="What's your vibe today? #SpotifyHits"/>
    <n v="3529"/>
    <n v="263"/>
    <n v="107"/>
    <n v="26570"/>
    <n v="19367"/>
    <n v="96"/>
    <s v="#DiscoverWeekly"/>
    <m/>
    <n v="0.14674444862627023"/>
    <n v="39"/>
    <n v="3899"/>
    <x v="0"/>
    <x v="2"/>
    <x v="0"/>
  </r>
  <r>
    <s v="SP250"/>
    <x v="1"/>
    <d v="2025-05-15T00:00:00"/>
    <x v="0"/>
    <s v="Your weekend playlist is waiting."/>
    <n v="4782"/>
    <n v="210"/>
    <n v="311"/>
    <n v="29793"/>
    <n v="37543"/>
    <n v="145"/>
    <s v="#NowPlaying"/>
    <m/>
    <n v="0.17799483100057059"/>
    <n v="13"/>
    <n v="5303"/>
    <x v="0"/>
    <x v="0"/>
    <x v="0"/>
  </r>
  <r>
    <s v="SP251"/>
    <x v="1"/>
    <d v="2024-07-07T00:00:00"/>
    <x v="0"/>
    <s v="What's your vibe today? #SpotifyHits"/>
    <n v="1848"/>
    <n v="417"/>
    <n v="294"/>
    <n v="57819"/>
    <n v="19798"/>
    <n v="262"/>
    <s v="#SoundtrackOfLife"/>
    <m/>
    <n v="4.4258807658382193E-2"/>
    <n v="269"/>
    <n v="2559"/>
    <x v="3"/>
    <x v="2"/>
    <x v="1"/>
  </r>
  <r>
    <s v="SP252"/>
    <x v="2"/>
    <d v="2024-10-26T00:00:00"/>
    <x v="0"/>
    <s v="New music just dropped. Hit play!"/>
    <n v="4676"/>
    <n v="211"/>
    <n v="55"/>
    <n v="45917"/>
    <n v="73503"/>
    <n v="248"/>
    <s v="#DiscoverWeekly"/>
    <s v="#SpotifyWrapped"/>
    <n v="0.10762898272970794"/>
    <n v="90"/>
    <n v="4942"/>
    <x v="0"/>
    <x v="2"/>
    <x v="0"/>
  </r>
  <r>
    <s v="SP253"/>
    <x v="2"/>
    <d v="2024-08-08T00:00:00"/>
    <x v="0"/>
    <s v="From pop to podcasts, it's all here."/>
    <n v="1994"/>
    <n v="197"/>
    <n v="290"/>
    <n v="49500"/>
    <n v="23343"/>
    <n v="160"/>
    <s v="#DiscoverWeekly"/>
    <s v="#SpotifyWrapped"/>
    <n v="5.0121212121212122E-2"/>
    <n v="254"/>
    <n v="2481"/>
    <x v="0"/>
    <x v="2"/>
    <x v="0"/>
  </r>
  <r>
    <s v="SP254"/>
    <x v="1"/>
    <d v="2025-02-03T00:00:00"/>
    <x v="0"/>
    <s v="What's your vibe today? #SpotifyHits"/>
    <n v="4995"/>
    <n v="231"/>
    <n v="94"/>
    <n v="34431"/>
    <n v="32560"/>
    <n v="262"/>
    <s v="#NowPlaying"/>
    <m/>
    <n v="0.15451192239551567"/>
    <n v="34"/>
    <n v="5320"/>
    <x v="1"/>
    <x v="1"/>
    <x v="1"/>
  </r>
  <r>
    <s v="SP255"/>
    <x v="1"/>
    <d v="2024-04-03T00:00:00"/>
    <x v="1"/>
    <s v="Top trending tracks updated daily!"/>
    <n v="2291"/>
    <n v="146"/>
    <n v="399"/>
    <n v="49319"/>
    <n v="28056"/>
    <n v="90"/>
    <s v="#DiscoverWeekly"/>
    <s v="#MusicForEveryone"/>
    <n v="5.7503193495407452E-2"/>
    <n v="232"/>
    <n v="2836"/>
    <x v="0"/>
    <x v="2"/>
    <x v="0"/>
  </r>
  <r>
    <s v="SP256"/>
    <x v="1"/>
    <d v="2024-07-08T00:00:00"/>
    <x v="1"/>
    <s v="Wrapped is here! Relive your top tracks "/>
    <n v="2304"/>
    <n v="289"/>
    <n v="161"/>
    <n v="52645"/>
    <n v="66262"/>
    <n v="146"/>
    <s v="#MusicForEveryone"/>
    <s v="#NowPlaying"/>
    <n v="5.2312660271630736E-2"/>
    <n v="246"/>
    <n v="2754"/>
    <x v="3"/>
    <x v="2"/>
    <x v="1"/>
  </r>
  <r>
    <s v="SP257"/>
    <x v="1"/>
    <d v="2024-06-08T00:00:00"/>
    <x v="1"/>
    <s v="Top trending tracks updated daily!"/>
    <n v="3413"/>
    <n v="326"/>
    <n v="86"/>
    <n v="44680"/>
    <n v="52719"/>
    <n v="272"/>
    <s v="#DiscoverWeekly"/>
    <s v="#MusicForEveryone"/>
    <n v="8.5608773500447627E-2"/>
    <n v="153"/>
    <n v="3825"/>
    <x v="0"/>
    <x v="2"/>
    <x v="0"/>
  </r>
  <r>
    <s v="SP258"/>
    <x v="2"/>
    <d v="2025-03-20T00:00:00"/>
    <x v="2"/>
    <s v="From pop to podcasts, it's all here."/>
    <n v="1453"/>
    <n v="156"/>
    <n v="178"/>
    <n v="52980"/>
    <n v="57180"/>
    <n v="286"/>
    <s v="#DiscoverWeekly"/>
    <s v="#SoundtrackOfLife"/>
    <n v="3.3729709324273313E-2"/>
    <n v="292"/>
    <n v="1787"/>
    <x v="4"/>
    <x v="0"/>
    <x v="1"/>
  </r>
  <r>
    <s v="SP259"/>
    <x v="1"/>
    <d v="2025-01-19T00:00:00"/>
    <x v="1"/>
    <s v="Music that moves you-only on Spotify."/>
    <n v="1651"/>
    <n v="480"/>
    <n v="282"/>
    <n v="32140"/>
    <n v="70560"/>
    <n v="138"/>
    <s v="#SoundtrackOfLife"/>
    <s v="#NowPlaying"/>
    <n v="7.5077784691972627E-2"/>
    <n v="188"/>
    <n v="2413"/>
    <x v="1"/>
    <x v="1"/>
    <x v="1"/>
  </r>
  <r>
    <s v="SP260"/>
    <x v="1"/>
    <d v="2025-01-05T00:00:00"/>
    <x v="1"/>
    <s v="Explore the latest podcasts now."/>
    <n v="3341"/>
    <n v="154"/>
    <n v="123"/>
    <n v="43369"/>
    <n v="49035"/>
    <n v="128"/>
    <s v="#MusicForEveryone"/>
    <s v="#NowPlaying"/>
    <n v="8.3423643616408028E-2"/>
    <n v="163"/>
    <n v="3618"/>
    <x v="0"/>
    <x v="2"/>
    <x v="0"/>
  </r>
  <r>
    <s v="SP261"/>
    <x v="1"/>
    <d v="2024-11-16T00:00:00"/>
    <x v="0"/>
    <s v="From pop to podcasts, it's all here."/>
    <n v="2972"/>
    <n v="263"/>
    <n v="308"/>
    <n v="51740"/>
    <n v="28214"/>
    <n v="190"/>
    <s v="#SoundtrackOfLife"/>
    <m/>
    <n v="6.8477000386548123E-2"/>
    <n v="206"/>
    <n v="3543"/>
    <x v="0"/>
    <x v="2"/>
    <x v="0"/>
  </r>
  <r>
    <s v="SP262"/>
    <x v="1"/>
    <d v="2024-11-30T00:00:00"/>
    <x v="1"/>
    <s v="Explore the latest podcasts now."/>
    <n v="4963"/>
    <n v="255"/>
    <n v="193"/>
    <n v="44386"/>
    <n v="28415"/>
    <n v="174"/>
    <s v="#MusicForEveryone"/>
    <s v="#NowPlaying"/>
    <n v="0.12190780876853062"/>
    <n v="63"/>
    <n v="5411"/>
    <x v="0"/>
    <x v="2"/>
    <x v="0"/>
  </r>
  <r>
    <s v="SP263"/>
    <x v="2"/>
    <d v="2024-03-27T00:00:00"/>
    <x v="0"/>
    <s v="Music that moves you-only on Spotify."/>
    <n v="2399"/>
    <n v="191"/>
    <n v="221"/>
    <n v="51603"/>
    <n v="40033"/>
    <n v="173"/>
    <s v="#DiscoverWeekly"/>
    <s v="#SpotifyWrapped"/>
    <n v="5.4473577117609438E-2"/>
    <n v="240"/>
    <n v="2811"/>
    <x v="0"/>
    <x v="2"/>
    <x v="0"/>
  </r>
  <r>
    <s v="SP264"/>
    <x v="2"/>
    <d v="2025-05-31T00:00:00"/>
    <x v="2"/>
    <s v="Get into the groove with our new drop!"/>
    <n v="2162"/>
    <n v="318"/>
    <n v="83"/>
    <n v="46719"/>
    <n v="20482"/>
    <n v="185"/>
    <s v="#DiscoverWeekly"/>
    <s v="#SoundtrackOfLife"/>
    <n v="5.4859907104176028E-2"/>
    <n v="236"/>
    <n v="2563"/>
    <x v="0"/>
    <x v="0"/>
    <x v="0"/>
  </r>
  <r>
    <s v="SP265"/>
    <x v="1"/>
    <d v="2025-06-17T00:00:00"/>
    <x v="1"/>
    <s v="Explore the latest podcasts now."/>
    <n v="4341"/>
    <n v="141"/>
    <n v="63"/>
    <n v="50081"/>
    <n v="27507"/>
    <n v="221"/>
    <s v="#DiscoverWeekly"/>
    <s v="#MusicForEveryone"/>
    <n v="9.0752980172121162E-2"/>
    <n v="137"/>
    <n v="4545"/>
    <x v="0"/>
    <x v="0"/>
    <x v="0"/>
  </r>
  <r>
    <s v="SP266"/>
    <x v="0"/>
    <d v="2024-05-30T00:00:00"/>
    <x v="1"/>
    <s v="Get into the groove with our new drop!"/>
    <n v="2448"/>
    <n v="464"/>
    <n v="98"/>
    <n v="25737"/>
    <n v="48545"/>
    <n v="246"/>
    <s v="#NowPlaying"/>
    <m/>
    <n v="0.11695224773672146"/>
    <n v="68"/>
    <n v="3010"/>
    <x v="0"/>
    <x v="2"/>
    <x v="0"/>
  </r>
  <r>
    <s v="SP267"/>
    <x v="2"/>
    <d v="2024-11-08T00:00:00"/>
    <x v="0"/>
    <s v="Top trending tracks updated daily!"/>
    <n v="2471"/>
    <n v="166"/>
    <n v="320"/>
    <n v="48254"/>
    <n v="46900"/>
    <n v="111"/>
    <s v="#DiscoverWeekly"/>
    <s v="#SpotifyWrapped"/>
    <n v="6.1279893894806647E-2"/>
    <n v="219"/>
    <n v="2957"/>
    <x v="0"/>
    <x v="2"/>
    <x v="0"/>
  </r>
  <r>
    <s v="SP268"/>
    <x v="2"/>
    <d v="2024-03-17T00:00:00"/>
    <x v="2"/>
    <s v="Explore the latest podcasts now."/>
    <n v="2692"/>
    <n v="446"/>
    <n v="216"/>
    <n v="45818"/>
    <n v="62723"/>
    <n v="85"/>
    <s v="#DiscoverWeekly"/>
    <s v="#SoundtrackOfLife"/>
    <n v="7.3202671439172376E-2"/>
    <n v="193"/>
    <n v="3354"/>
    <x v="0"/>
    <x v="2"/>
    <x v="0"/>
  </r>
  <r>
    <s v="SP269"/>
    <x v="2"/>
    <d v="2024-06-21T00:00:00"/>
    <x v="2"/>
    <s v="Music that moves you-only on Spotify."/>
    <n v="4621"/>
    <n v="374"/>
    <n v="298"/>
    <n v="56979"/>
    <n v="24098"/>
    <n v="205"/>
    <s v="#DiscoverWeekly"/>
    <s v="#SoundtrackOfLife"/>
    <n v="9.2893873181347508E-2"/>
    <n v="129"/>
    <n v="5293"/>
    <x v="3"/>
    <x v="2"/>
    <x v="1"/>
  </r>
  <r>
    <s v="SP270"/>
    <x v="1"/>
    <d v="2024-11-13T00:00:00"/>
    <x v="1"/>
    <s v="New music just dropped. Hit play!"/>
    <n v="1409"/>
    <n v="466"/>
    <n v="105"/>
    <n v="58923"/>
    <n v="38753"/>
    <n v="265"/>
    <s v="#DiscoverWeekly"/>
    <s v="#MusicForEveryone"/>
    <n v="3.3603177027646251E-2"/>
    <n v="293"/>
    <n v="1980"/>
    <x v="0"/>
    <x v="2"/>
    <x v="0"/>
  </r>
  <r>
    <s v="SP271"/>
    <x v="1"/>
    <d v="2025-02-05T00:00:00"/>
    <x v="1"/>
    <s v="Discover fresh beats on Spotify!"/>
    <n v="3029"/>
    <n v="440"/>
    <n v="66"/>
    <n v="23815"/>
    <n v="47895"/>
    <n v="210"/>
    <s v="#DiscoverWeekly"/>
    <s v="#MusicForEveryone"/>
    <n v="0.14843585975225698"/>
    <n v="37"/>
    <n v="3535"/>
    <x v="1"/>
    <x v="1"/>
    <x v="1"/>
  </r>
  <r>
    <s v="SP272"/>
    <x v="1"/>
    <d v="2024-11-07T00:00:00"/>
    <x v="0"/>
    <s v="Explore the latest podcasts now."/>
    <n v="2229"/>
    <n v="395"/>
    <n v="328"/>
    <n v="56921"/>
    <n v="37176"/>
    <n v="126"/>
    <s v="#SoundtrackOfLife"/>
    <m/>
    <n v="5.1861351697967357E-2"/>
    <n v="249"/>
    <n v="2952"/>
    <x v="0"/>
    <x v="2"/>
    <x v="0"/>
  </r>
  <r>
    <s v="SP273"/>
    <x v="1"/>
    <d v="2024-02-12T00:00:00"/>
    <x v="0"/>
    <s v="Explore the latest podcasts now."/>
    <n v="2691"/>
    <n v="486"/>
    <n v="206"/>
    <n v="51133"/>
    <n v="44583"/>
    <n v="276"/>
    <s v="#NowPlaying"/>
    <m/>
    <n v="6.6160796354604659E-2"/>
    <n v="210"/>
    <n v="3383"/>
    <x v="0"/>
    <x v="2"/>
    <x v="0"/>
  </r>
  <r>
    <s v="SP274"/>
    <x v="0"/>
    <d v="2024-10-08T00:00:00"/>
    <x v="0"/>
    <s v="Explore the latest podcasts now."/>
    <n v="2110"/>
    <n v="384"/>
    <n v="236"/>
    <n v="49965"/>
    <n v="61555"/>
    <n v="195"/>
    <s v="#DiscoverWeekly"/>
    <m/>
    <n v="5.4638246772740921E-2"/>
    <n v="237"/>
    <n v="2730"/>
    <x v="0"/>
    <x v="2"/>
    <x v="0"/>
  </r>
  <r>
    <s v="SP275"/>
    <x v="0"/>
    <d v="2024-02-19T00:00:00"/>
    <x v="0"/>
    <s v="Wrapped is here! Relive your top tracks "/>
    <n v="4752"/>
    <n v="449"/>
    <n v="309"/>
    <n v="58530"/>
    <n v="26630"/>
    <n v="234"/>
    <s v="#DiscoverWeekly"/>
    <m/>
    <n v="9.4139757389372969E-2"/>
    <n v="125"/>
    <n v="5510"/>
    <x v="0"/>
    <x v="2"/>
    <x v="0"/>
  </r>
  <r>
    <s v="SP276"/>
    <x v="1"/>
    <d v="2025-03-04T00:00:00"/>
    <x v="0"/>
    <s v="Discover fresh beats on Spotify!"/>
    <n v="2177"/>
    <n v="258"/>
    <n v="292"/>
    <n v="47276"/>
    <n v="51324"/>
    <n v="143"/>
    <s v="#NowPlaying"/>
    <m/>
    <n v="5.7682545054573146E-2"/>
    <n v="231"/>
    <n v="2727"/>
    <x v="4"/>
    <x v="0"/>
    <x v="1"/>
  </r>
  <r>
    <s v="SP277"/>
    <x v="0"/>
    <d v="2025-02-03T00:00:00"/>
    <x v="1"/>
    <s v="New music just dropped. Hit play!"/>
    <n v="1205"/>
    <n v="486"/>
    <n v="269"/>
    <n v="23341"/>
    <n v="42411"/>
    <n v="184"/>
    <s v="#NowPlaying"/>
    <m/>
    <n v="8.3972409065592737E-2"/>
    <n v="161"/>
    <n v="1960"/>
    <x v="1"/>
    <x v="1"/>
    <x v="1"/>
  </r>
  <r>
    <s v="SP278"/>
    <x v="0"/>
    <d v="2024-12-02T00:00:00"/>
    <x v="0"/>
    <s v="Top trending tracks updated daily!"/>
    <n v="3194"/>
    <n v="292"/>
    <n v="245"/>
    <n v="56371"/>
    <n v="65597"/>
    <n v="163"/>
    <s v="#SoundtrackOfLife"/>
    <s v="#NowPlaying"/>
    <n v="6.6186514342481059E-2"/>
    <n v="209"/>
    <n v="3731"/>
    <x v="2"/>
    <x v="2"/>
    <x v="1"/>
  </r>
  <r>
    <s v="SP279"/>
    <x v="1"/>
    <d v="2025-01-19T00:00:00"/>
    <x v="1"/>
    <s v="New music just dropped. Hit play!"/>
    <n v="3507"/>
    <n v="295"/>
    <n v="371"/>
    <n v="20410"/>
    <n v="53965"/>
    <n v="212"/>
    <s v="#SoundtrackOfLife"/>
    <s v="#NowPlaying"/>
    <n v="0.20445859872611466"/>
    <n v="4"/>
    <n v="4173"/>
    <x v="1"/>
    <x v="1"/>
    <x v="1"/>
  </r>
  <r>
    <s v="SP280"/>
    <x v="1"/>
    <d v="2024-09-28T00:00:00"/>
    <x v="1"/>
    <s v="Wrapped is here! Relive your top tracks "/>
    <n v="4471"/>
    <n v="317"/>
    <n v="249"/>
    <n v="44862"/>
    <n v="33365"/>
    <n v="184"/>
    <s v="#DiscoverWeekly"/>
    <s v="#MusicForEveryone"/>
    <n v="0.1122776514644911"/>
    <n v="77"/>
    <n v="5037"/>
    <x v="0"/>
    <x v="2"/>
    <x v="0"/>
  </r>
  <r>
    <s v="SP281"/>
    <x v="0"/>
    <d v="2024-01-07T00:00:00"/>
    <x v="0"/>
    <s v="Top trending tracks updated daily!"/>
    <n v="4931"/>
    <n v="469"/>
    <n v="193"/>
    <n v="56701"/>
    <n v="69437"/>
    <n v="291"/>
    <s v="#SoundtrackOfLife"/>
    <s v="#NowPlaying"/>
    <n v="9.8640235621946709E-2"/>
    <n v="110"/>
    <n v="5593"/>
    <x v="0"/>
    <x v="2"/>
    <x v="0"/>
  </r>
  <r>
    <s v="SP282"/>
    <x v="1"/>
    <d v="2024-02-21T00:00:00"/>
    <x v="1"/>
    <s v="Get into the groove with our new drop!"/>
    <n v="2604"/>
    <n v="439"/>
    <n v="148"/>
    <n v="58468"/>
    <n v="39629"/>
    <n v="163"/>
    <s v="#MusicForEveryone"/>
    <s v="#NowPlaying"/>
    <n v="5.4576862557296296E-2"/>
    <n v="239"/>
    <n v="3191"/>
    <x v="0"/>
    <x v="2"/>
    <x v="0"/>
  </r>
  <r>
    <s v="SP283"/>
    <x v="0"/>
    <d v="2024-08-27T00:00:00"/>
    <x v="0"/>
    <s v="Music that moves you-only on Spotify."/>
    <n v="4197"/>
    <n v="359"/>
    <n v="280"/>
    <n v="56048"/>
    <n v="70930"/>
    <n v="295"/>
    <s v="#DiscoverWeekly"/>
    <m/>
    <n v="8.628318584070796E-2"/>
    <n v="151"/>
    <n v="4836"/>
    <x v="0"/>
    <x v="2"/>
    <x v="0"/>
  </r>
  <r>
    <s v="SP284"/>
    <x v="0"/>
    <d v="2024-10-24T00:00:00"/>
    <x v="1"/>
    <s v="Top trending tracks updated daily!"/>
    <n v="1914"/>
    <n v="255"/>
    <n v="156"/>
    <n v="27660"/>
    <n v="47776"/>
    <n v="111"/>
    <s v="#NowPlaying"/>
    <m/>
    <n v="8.4056399132321047E-2"/>
    <n v="160"/>
    <n v="2325"/>
    <x v="0"/>
    <x v="2"/>
    <x v="0"/>
  </r>
  <r>
    <s v="SP285"/>
    <x v="2"/>
    <d v="2025-01-29T00:00:00"/>
    <x v="0"/>
    <s v="New music just dropped. Hit play!"/>
    <n v="1334"/>
    <n v="357"/>
    <n v="257"/>
    <n v="56910"/>
    <n v="70606"/>
    <n v="228"/>
    <s v="#DiscoverWeekly"/>
    <s v="#SpotifyWrapped"/>
    <n v="3.4229485151994379E-2"/>
    <n v="290"/>
    <n v="1948"/>
    <x v="1"/>
    <x v="1"/>
    <x v="1"/>
  </r>
  <r>
    <s v="SP286"/>
    <x v="0"/>
    <d v="2024-05-01T00:00:00"/>
    <x v="0"/>
    <s v="Get into the groove with our new drop!"/>
    <n v="3359"/>
    <n v="137"/>
    <n v="387"/>
    <n v="33861"/>
    <n v="47257"/>
    <n v="198"/>
    <s v="#DiscoverWeekly"/>
    <m/>
    <n v="0.11467469950680724"/>
    <n v="72"/>
    <n v="3883"/>
    <x v="0"/>
    <x v="2"/>
    <x v="0"/>
  </r>
  <r>
    <s v="SP287"/>
    <x v="2"/>
    <d v="2024-06-25T00:00:00"/>
    <x v="0"/>
    <s v="Your weekend playlist is waiting."/>
    <n v="2172"/>
    <n v="338"/>
    <n v="70"/>
    <n v="30515"/>
    <n v="57853"/>
    <n v="156"/>
    <s v="#DiscoverWeekly"/>
    <s v="#SpotifyWrapped"/>
    <n v="8.4548582664263475E-2"/>
    <n v="156"/>
    <n v="2580"/>
    <x v="3"/>
    <x v="2"/>
    <x v="1"/>
  </r>
  <r>
    <s v="SP288"/>
    <x v="1"/>
    <d v="2024-08-09T00:00:00"/>
    <x v="1"/>
    <s v="From pop to podcasts, it's all here."/>
    <n v="4877"/>
    <n v="442"/>
    <n v="236"/>
    <n v="52673"/>
    <n v="48241"/>
    <n v="114"/>
    <s v="#DiscoverWeekly"/>
    <s v="#MusicForEveryone"/>
    <n v="0.10546200140489435"/>
    <n v="98"/>
    <n v="5555"/>
    <x v="0"/>
    <x v="2"/>
    <x v="0"/>
  </r>
  <r>
    <s v="SP289"/>
    <x v="0"/>
    <d v="2025-01-21T00:00:00"/>
    <x v="1"/>
    <s v="New music just dropped. Hit play!"/>
    <n v="4918"/>
    <n v="440"/>
    <n v="149"/>
    <n v="53269"/>
    <n v="64370"/>
    <n v="269"/>
    <s v="#NowPlaying"/>
    <m/>
    <n v="0.10338095327488783"/>
    <n v="102"/>
    <n v="5507"/>
    <x v="1"/>
    <x v="1"/>
    <x v="1"/>
  </r>
  <r>
    <s v="SP290"/>
    <x v="1"/>
    <d v="2024-08-13T00:00:00"/>
    <x v="0"/>
    <s v="Explore the latest podcasts now."/>
    <n v="3418"/>
    <n v="107"/>
    <n v="221"/>
    <n v="23927"/>
    <n v="26182"/>
    <n v="155"/>
    <s v="#SoundtrackOfLife"/>
    <m/>
    <n v="0.1565595352530614"/>
    <n v="31"/>
    <n v="3746"/>
    <x v="0"/>
    <x v="2"/>
    <x v="0"/>
  </r>
  <r>
    <s v="SP291"/>
    <x v="0"/>
    <d v="2024-06-29T00:00:00"/>
    <x v="0"/>
    <s v="Your weekend playlist is waiting."/>
    <n v="2088"/>
    <n v="490"/>
    <n v="124"/>
    <n v="46544"/>
    <n v="69346"/>
    <n v="178"/>
    <s v="#SoundtrackOfLife"/>
    <s v="#NowPlaying"/>
    <n v="5.8052595393606049E-2"/>
    <n v="229"/>
    <n v="2702"/>
    <x v="3"/>
    <x v="2"/>
    <x v="1"/>
  </r>
  <r>
    <s v="SP292"/>
    <x v="1"/>
    <d v="2024-11-03T00:00:00"/>
    <x v="1"/>
    <s v="Explore the latest podcasts now."/>
    <n v="3061"/>
    <n v="320"/>
    <n v="76"/>
    <n v="26640"/>
    <n v="24306"/>
    <n v="112"/>
    <s v="#MusicForEveryone"/>
    <s v="#NowPlaying"/>
    <n v="0.12976726726726726"/>
    <n v="57"/>
    <n v="3457"/>
    <x v="0"/>
    <x v="2"/>
    <x v="0"/>
  </r>
  <r>
    <s v="SP293"/>
    <x v="2"/>
    <d v="2025-04-18T00:00:00"/>
    <x v="2"/>
    <s v="Your weekend playlist is waiting."/>
    <n v="1265"/>
    <n v="230"/>
    <n v="364"/>
    <n v="41312"/>
    <n v="50382"/>
    <n v="106"/>
    <s v="#DiscoverWeekly"/>
    <s v="#SoundtrackOfLife"/>
    <n v="4.4999031758326875E-2"/>
    <n v="266"/>
    <n v="1859"/>
    <x v="0"/>
    <x v="0"/>
    <x v="0"/>
  </r>
  <r>
    <s v="SP294"/>
    <x v="0"/>
    <d v="2024-12-27T00:00:00"/>
    <x v="0"/>
    <s v="From pop to podcasts, it's all here."/>
    <n v="1436"/>
    <n v="219"/>
    <n v="229"/>
    <n v="58488"/>
    <n v="24314"/>
    <n v="147"/>
    <s v="#DiscoverWeekly"/>
    <m/>
    <n v="3.221173574066475E-2"/>
    <n v="294"/>
    <n v="1884"/>
    <x v="2"/>
    <x v="2"/>
    <x v="1"/>
  </r>
  <r>
    <s v="SP295"/>
    <x v="0"/>
    <d v="2025-03-08T00:00:00"/>
    <x v="1"/>
    <s v="Top trending tracks updated daily!"/>
    <n v="2244"/>
    <n v="392"/>
    <n v="231"/>
    <n v="25834"/>
    <n v="50906"/>
    <n v="165"/>
    <s v="#NowPlaying"/>
    <m/>
    <n v="0.1109777812185492"/>
    <n v="80"/>
    <n v="2867"/>
    <x v="4"/>
    <x v="0"/>
    <x v="1"/>
  </r>
  <r>
    <s v="SP296"/>
    <x v="1"/>
    <d v="2025-03-20T00:00:00"/>
    <x v="1"/>
    <s v="Your weekend playlist is waiting."/>
    <n v="3393"/>
    <n v="104"/>
    <n v="79"/>
    <n v="30025"/>
    <n v="21593"/>
    <n v="165"/>
    <s v="#MusicForEveryone"/>
    <s v="#NowPlaying"/>
    <n v="0.1191007493755204"/>
    <n v="65"/>
    <n v="3576"/>
    <x v="4"/>
    <x v="0"/>
    <x v="1"/>
  </r>
  <r>
    <s v="SP297"/>
    <x v="1"/>
    <d v="2024-11-16T00:00:00"/>
    <x v="0"/>
    <s v="Explore the latest podcasts now."/>
    <n v="2901"/>
    <n v="108"/>
    <n v="86"/>
    <n v="51777"/>
    <n v="23773"/>
    <n v="160"/>
    <s v="#SoundtrackOfLife"/>
    <m/>
    <n v="5.9775576027966085E-2"/>
    <n v="224"/>
    <n v="3095"/>
    <x v="0"/>
    <x v="2"/>
    <x v="0"/>
  </r>
  <r>
    <s v="SP298"/>
    <x v="1"/>
    <d v="2025-06-30T00:00:00"/>
    <x v="0"/>
    <s v="What's your vibe today? #SpotifyHits"/>
    <n v="2275"/>
    <n v="285"/>
    <n v="125"/>
    <n v="43970"/>
    <n v="74761"/>
    <n v="83"/>
    <s v="#NowPlaying"/>
    <m/>
    <n v="6.1064362065044349E-2"/>
    <n v="221"/>
    <n v="2685"/>
    <x v="0"/>
    <x v="0"/>
    <x v="0"/>
  </r>
  <r>
    <s v="SP299"/>
    <x v="1"/>
    <d v="2024-01-12T00:00:00"/>
    <x v="1"/>
    <s v="Wrapped is here! Relive your top tracks "/>
    <n v="2227"/>
    <n v="494"/>
    <n v="161"/>
    <n v="51651"/>
    <n v="68074"/>
    <n v="240"/>
    <s v="#DiscoverWeekly"/>
    <s v="#MusicForEveryone"/>
    <n v="5.5797564422760453E-2"/>
    <n v="235"/>
    <n v="2882"/>
    <x v="0"/>
    <x v="2"/>
    <x v="0"/>
  </r>
  <r>
    <s v="SP300"/>
    <x v="0"/>
    <d v="2024-02-07T00:00:00"/>
    <x v="0"/>
    <s v="Music that moves you-only on Spotify."/>
    <n v="1883"/>
    <n v="432"/>
    <n v="397"/>
    <n v="28759"/>
    <n v="18691"/>
    <n v="270"/>
    <s v="#SoundtrackOfLife"/>
    <s v="#NowPlaying"/>
    <n v="9.4300914496331587E-2"/>
    <n v="123"/>
    <n v="2712"/>
    <x v="0"/>
    <x v="2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12-30T00:00:00"/>
    <s v="Instagram"/>
    <n v="664"/>
    <n v="251"/>
    <n v="240598"/>
    <n v="4.79"/>
    <n v="10563"/>
    <n v="413"/>
    <x v="0"/>
  </r>
  <r>
    <d v="2024-12-30T00:00:00"/>
    <s v="Twitter"/>
    <n v="1490"/>
    <n v="103"/>
    <n v="373274"/>
    <n v="4.8"/>
    <n v="19949"/>
    <n v="1387"/>
    <x v="0"/>
  </r>
  <r>
    <d v="2024-12-30T00:00:00"/>
    <s v="YouTube"/>
    <n v="601"/>
    <n v="64"/>
    <n v="123272"/>
    <n v="4.07"/>
    <n v="14273"/>
    <n v="537"/>
    <x v="0"/>
  </r>
  <r>
    <d v="2024-06-03T00:00:00"/>
    <s v="Instagram"/>
    <n v="1402"/>
    <n v="68"/>
    <n v="124562"/>
    <n v="9.92"/>
    <n v="23125"/>
    <n v="1334"/>
    <x v="1"/>
  </r>
  <r>
    <d v="2024-06-03T00:00:00"/>
    <s v="Twitter"/>
    <n v="995"/>
    <n v="86"/>
    <n v="227958"/>
    <n v="8.0500000000000007"/>
    <n v="22788"/>
    <n v="909"/>
    <x v="1"/>
  </r>
  <r>
    <d v="2024-06-03T00:00:00"/>
    <s v="YouTube"/>
    <n v="1472"/>
    <n v="296"/>
    <n v="370242"/>
    <n v="7.72"/>
    <n v="7810"/>
    <n v="1176"/>
    <x v="1"/>
  </r>
  <r>
    <d v="2024-06-10T00:00:00"/>
    <s v="Instagram"/>
    <n v="1018"/>
    <n v="90"/>
    <n v="92474"/>
    <n v="9.4"/>
    <n v="11966"/>
    <n v="928"/>
    <x v="2"/>
  </r>
  <r>
    <d v="2024-06-10T00:00:00"/>
    <s v="Twitter"/>
    <n v="1461"/>
    <n v="64"/>
    <n v="328902"/>
    <n v="9.02"/>
    <n v="26298"/>
    <n v="1397"/>
    <x v="2"/>
  </r>
  <r>
    <d v="2024-06-10T00:00:00"/>
    <s v="YouTube"/>
    <n v="545"/>
    <n v="93"/>
    <n v="391621"/>
    <n v="9.9600000000000009"/>
    <n v="22029"/>
    <n v="452"/>
    <x v="2"/>
  </r>
  <r>
    <d v="2024-06-17T00:00:00"/>
    <s v="Instagram"/>
    <n v="881"/>
    <n v="291"/>
    <n v="95885"/>
    <n v="5.29"/>
    <n v="12391"/>
    <n v="590"/>
    <x v="3"/>
  </r>
  <r>
    <d v="2024-06-17T00:00:00"/>
    <s v="Twitter"/>
    <n v="1414"/>
    <n v="131"/>
    <n v="245947"/>
    <n v="8.3000000000000007"/>
    <n v="14477"/>
    <n v="1283"/>
    <x v="3"/>
  </r>
  <r>
    <d v="2024-06-17T00:00:00"/>
    <s v="YouTube"/>
    <n v="1472"/>
    <n v="170"/>
    <n v="250428"/>
    <n v="4.66"/>
    <n v="25040"/>
    <n v="1302"/>
    <x v="3"/>
  </r>
  <r>
    <d v="2024-06-24T00:00:00"/>
    <s v="Instagram"/>
    <n v="809"/>
    <n v="197"/>
    <n v="87186"/>
    <n v="9.48"/>
    <n v="22619"/>
    <n v="612"/>
    <x v="4"/>
  </r>
  <r>
    <d v="2024-06-24T00:00:00"/>
    <s v="Twitter"/>
    <n v="1371"/>
    <n v="250"/>
    <n v="128620"/>
    <n v="7.11"/>
    <n v="12399"/>
    <n v="1121"/>
    <x v="4"/>
  </r>
  <r>
    <d v="2024-06-24T00:00:00"/>
    <s v="YouTube"/>
    <n v="844"/>
    <n v="144"/>
    <n v="126015"/>
    <n v="9.65"/>
    <n v="22456"/>
    <n v="700"/>
    <x v="4"/>
  </r>
  <r>
    <d v="2024-07-01T00:00:00"/>
    <s v="Instagram"/>
    <n v="786"/>
    <n v="72"/>
    <n v="178615"/>
    <n v="5.43"/>
    <n v="19328"/>
    <n v="714"/>
    <x v="5"/>
  </r>
  <r>
    <d v="2024-07-01T00:00:00"/>
    <s v="Twitter"/>
    <n v="845"/>
    <n v="250"/>
    <n v="218228"/>
    <n v="4.5199999999999996"/>
    <n v="21107"/>
    <n v="595"/>
    <x v="5"/>
  </r>
  <r>
    <d v="2024-07-01T00:00:00"/>
    <s v="YouTube"/>
    <n v="1218"/>
    <n v="101"/>
    <n v="300397"/>
    <n v="4.33"/>
    <n v="12277"/>
    <n v="1117"/>
    <x v="5"/>
  </r>
  <r>
    <d v="2024-07-08T00:00:00"/>
    <s v="Instagram"/>
    <n v="797"/>
    <n v="130"/>
    <n v="340121"/>
    <n v="8.52"/>
    <n v="11684"/>
    <n v="667"/>
    <x v="6"/>
  </r>
  <r>
    <d v="2024-07-08T00:00:00"/>
    <s v="Twitter"/>
    <n v="1471"/>
    <n v="100"/>
    <n v="76866"/>
    <n v="8.5500000000000007"/>
    <n v="14412"/>
    <n v="1371"/>
    <x v="6"/>
  </r>
  <r>
    <d v="2024-07-08T00:00:00"/>
    <s v="YouTube"/>
    <n v="1253"/>
    <n v="136"/>
    <n v="193131"/>
    <n v="7.99"/>
    <n v="15924"/>
    <n v="1117"/>
    <x v="6"/>
  </r>
  <r>
    <d v="2024-07-15T00:00:00"/>
    <s v="Instagram"/>
    <n v="616"/>
    <n v="257"/>
    <n v="169665"/>
    <n v="6.31"/>
    <n v="12390"/>
    <n v="359"/>
    <x v="7"/>
  </r>
  <r>
    <d v="2024-07-15T00:00:00"/>
    <s v="Twitter"/>
    <n v="1308"/>
    <n v="210"/>
    <n v="263729"/>
    <n v="8.5299999999999994"/>
    <n v="25742"/>
    <n v="1098"/>
    <x v="7"/>
  </r>
  <r>
    <d v="2024-07-15T00:00:00"/>
    <s v="YouTube"/>
    <n v="981"/>
    <n v="69"/>
    <n v="206921"/>
    <n v="8.42"/>
    <n v="10495"/>
    <n v="912"/>
    <x v="7"/>
  </r>
  <r>
    <d v="2024-07-22T00:00:00"/>
    <s v="Instagram"/>
    <n v="866"/>
    <n v="74"/>
    <n v="204121"/>
    <n v="9.34"/>
    <n v="7797"/>
    <n v="792"/>
    <x v="8"/>
  </r>
  <r>
    <d v="2024-07-22T00:00:00"/>
    <s v="Twitter"/>
    <n v="547"/>
    <n v="183"/>
    <n v="266350"/>
    <n v="5.65"/>
    <n v="15595"/>
    <n v="364"/>
    <x v="8"/>
  </r>
  <r>
    <d v="2024-07-22T00:00:00"/>
    <s v="YouTube"/>
    <n v="1241"/>
    <n v="116"/>
    <n v="380606"/>
    <n v="4.2"/>
    <n v="24617"/>
    <n v="1125"/>
    <x v="8"/>
  </r>
  <r>
    <d v="2024-07-29T00:00:00"/>
    <s v="Instagram"/>
    <n v="973"/>
    <n v="104"/>
    <n v="376358"/>
    <n v="3.87"/>
    <n v="9847"/>
    <n v="869"/>
    <x v="9"/>
  </r>
  <r>
    <d v="2024-07-29T00:00:00"/>
    <s v="Twitter"/>
    <n v="611"/>
    <n v="197"/>
    <n v="79423"/>
    <n v="5.82"/>
    <n v="13644"/>
    <n v="414"/>
    <x v="9"/>
  </r>
  <r>
    <d v="2024-07-29T00:00:00"/>
    <s v="YouTube"/>
    <n v="983"/>
    <n v="134"/>
    <n v="352178"/>
    <n v="3.55"/>
    <n v="11421"/>
    <n v="849"/>
    <x v="9"/>
  </r>
  <r>
    <d v="2024-08-05T00:00:00"/>
    <s v="Instagram"/>
    <n v="1449"/>
    <n v="96"/>
    <n v="200636"/>
    <n v="9.92"/>
    <n v="15613"/>
    <n v="1353"/>
    <x v="10"/>
  </r>
  <r>
    <d v="2024-08-05T00:00:00"/>
    <s v="Twitter"/>
    <n v="752"/>
    <n v="170"/>
    <n v="132756"/>
    <n v="8.17"/>
    <n v="23900"/>
    <n v="582"/>
    <x v="10"/>
  </r>
  <r>
    <d v="2024-08-05T00:00:00"/>
    <s v="YouTube"/>
    <n v="937"/>
    <n v="179"/>
    <n v="318098"/>
    <n v="5.3"/>
    <n v="5836"/>
    <n v="758"/>
    <x v="10"/>
  </r>
  <r>
    <d v="2024-08-12T00:00:00"/>
    <s v="Instagram"/>
    <n v="1060"/>
    <n v="83"/>
    <n v="68724"/>
    <n v="5.98"/>
    <n v="5624"/>
    <n v="977"/>
    <x v="11"/>
  </r>
  <r>
    <d v="2024-08-12T00:00:00"/>
    <s v="Twitter"/>
    <n v="1456"/>
    <n v="265"/>
    <n v="115505"/>
    <n v="7.49"/>
    <n v="10311"/>
    <n v="1191"/>
    <x v="11"/>
  </r>
  <r>
    <d v="2024-08-12T00:00:00"/>
    <s v="YouTube"/>
    <n v="1109"/>
    <n v="205"/>
    <n v="276722"/>
    <n v="9.3800000000000008"/>
    <n v="8274"/>
    <n v="904"/>
    <x v="11"/>
  </r>
  <r>
    <d v="2024-08-19T00:00:00"/>
    <s v="Instagram"/>
    <n v="1002"/>
    <n v="93"/>
    <n v="353538"/>
    <n v="5.84"/>
    <n v="6031"/>
    <n v="909"/>
    <x v="12"/>
  </r>
  <r>
    <d v="2024-08-19T00:00:00"/>
    <s v="Twitter"/>
    <n v="571"/>
    <n v="189"/>
    <n v="61445"/>
    <n v="5.41"/>
    <n v="27829"/>
    <n v="382"/>
    <x v="12"/>
  </r>
  <r>
    <d v="2024-08-19T00:00:00"/>
    <s v="YouTube"/>
    <n v="1240"/>
    <n v="231"/>
    <n v="165035"/>
    <n v="6.05"/>
    <n v="18267"/>
    <n v="1009"/>
    <x v="12"/>
  </r>
  <r>
    <d v="2024-08-26T00:00:00"/>
    <s v="Instagram"/>
    <n v="1154"/>
    <n v="132"/>
    <n v="194595"/>
    <n v="7.54"/>
    <n v="26624"/>
    <n v="1022"/>
    <x v="13"/>
  </r>
  <r>
    <d v="2024-08-26T00:00:00"/>
    <s v="Twitter"/>
    <n v="537"/>
    <n v="275"/>
    <n v="236238"/>
    <n v="5.87"/>
    <n v="26644"/>
    <n v="262"/>
    <x v="13"/>
  </r>
  <r>
    <d v="2024-08-26T00:00:00"/>
    <s v="YouTube"/>
    <n v="1456"/>
    <n v="290"/>
    <n v="271044"/>
    <n v="7.17"/>
    <n v="13051"/>
    <n v="1166"/>
    <x v="13"/>
  </r>
  <r>
    <d v="2024-09-02T00:00:00"/>
    <s v="Instagram"/>
    <n v="721"/>
    <n v="206"/>
    <n v="334887"/>
    <n v="6.05"/>
    <n v="14217"/>
    <n v="515"/>
    <x v="14"/>
  </r>
  <r>
    <d v="2024-09-02T00:00:00"/>
    <s v="Twitter"/>
    <n v="1098"/>
    <n v="142"/>
    <n v="359150"/>
    <n v="7.51"/>
    <n v="16385"/>
    <n v="956"/>
    <x v="14"/>
  </r>
  <r>
    <d v="2024-09-02T00:00:00"/>
    <s v="YouTube"/>
    <n v="1096"/>
    <n v="65"/>
    <n v="358295"/>
    <n v="7.66"/>
    <n v="24548"/>
    <n v="1031"/>
    <x v="14"/>
  </r>
  <r>
    <d v="2024-09-09T00:00:00"/>
    <s v="Instagram"/>
    <n v="912"/>
    <n v="275"/>
    <n v="368454"/>
    <n v="6.03"/>
    <n v="9195"/>
    <n v="637"/>
    <x v="15"/>
  </r>
  <r>
    <d v="2024-09-09T00:00:00"/>
    <s v="Twitter"/>
    <n v="1430"/>
    <n v="162"/>
    <n v="269082"/>
    <n v="3.4"/>
    <n v="18071"/>
    <n v="1268"/>
    <x v="15"/>
  </r>
  <r>
    <d v="2024-09-09T00:00:00"/>
    <s v="YouTube"/>
    <n v="854"/>
    <n v="129"/>
    <n v="310903"/>
    <n v="7.83"/>
    <n v="16875"/>
    <n v="725"/>
    <x v="15"/>
  </r>
  <r>
    <d v="2024-09-16T00:00:00"/>
    <s v="Instagram"/>
    <n v="681"/>
    <n v="210"/>
    <n v="248581"/>
    <n v="8.76"/>
    <n v="9567"/>
    <n v="471"/>
    <x v="16"/>
  </r>
  <r>
    <d v="2024-09-16T00:00:00"/>
    <s v="Twitter"/>
    <n v="1373"/>
    <n v="82"/>
    <n v="371015"/>
    <n v="9.52"/>
    <n v="20306"/>
    <n v="1291"/>
    <x v="16"/>
  </r>
  <r>
    <d v="2024-09-16T00:00:00"/>
    <s v="YouTube"/>
    <n v="685"/>
    <n v="285"/>
    <n v="177452"/>
    <n v="3.36"/>
    <n v="21134"/>
    <n v="400"/>
    <x v="16"/>
  </r>
  <r>
    <d v="2024-09-23T00:00:00"/>
    <s v="Instagram"/>
    <n v="1290"/>
    <n v="177"/>
    <n v="80745"/>
    <n v="9.2200000000000006"/>
    <n v="26872"/>
    <n v="1113"/>
    <x v="17"/>
  </r>
  <r>
    <d v="2024-09-23T00:00:00"/>
    <s v="Twitter"/>
    <n v="1437"/>
    <n v="239"/>
    <n v="362441"/>
    <n v="5.57"/>
    <n v="10253"/>
    <n v="1198"/>
    <x v="17"/>
  </r>
  <r>
    <d v="2024-09-23T00:00:00"/>
    <s v="YouTube"/>
    <n v="769"/>
    <n v="295"/>
    <n v="344771"/>
    <n v="8.06"/>
    <n v="23963"/>
    <n v="474"/>
    <x v="17"/>
  </r>
  <r>
    <d v="2024-09-30T00:00:00"/>
    <s v="Instagram"/>
    <n v="1416"/>
    <n v="284"/>
    <n v="374952"/>
    <n v="3.45"/>
    <n v="11335"/>
    <n v="1132"/>
    <x v="18"/>
  </r>
  <r>
    <d v="2024-09-30T00:00:00"/>
    <s v="Twitter"/>
    <n v="998"/>
    <n v="154"/>
    <n v="179781"/>
    <n v="9.58"/>
    <n v="12115"/>
    <n v="844"/>
    <x v="18"/>
  </r>
  <r>
    <d v="2024-09-30T00:00:00"/>
    <s v="YouTube"/>
    <n v="1421"/>
    <n v="246"/>
    <n v="358581"/>
    <n v="8.8800000000000008"/>
    <n v="24358"/>
    <n v="1175"/>
    <x v="18"/>
  </r>
  <r>
    <d v="2024-10-07T00:00:00"/>
    <s v="Instagram"/>
    <n v="764"/>
    <n v="205"/>
    <n v="319294"/>
    <n v="6.23"/>
    <n v="12181"/>
    <n v="559"/>
    <x v="19"/>
  </r>
  <r>
    <d v="2024-10-07T00:00:00"/>
    <s v="Twitter"/>
    <n v="678"/>
    <n v="124"/>
    <n v="192022"/>
    <n v="8.4499999999999993"/>
    <n v="17729"/>
    <n v="554"/>
    <x v="19"/>
  </r>
  <r>
    <d v="2024-10-07T00:00:00"/>
    <s v="YouTube"/>
    <n v="1328"/>
    <n v="103"/>
    <n v="151462"/>
    <n v="8.4"/>
    <n v="10881"/>
    <n v="1225"/>
    <x v="19"/>
  </r>
  <r>
    <d v="2024-10-14T00:00:00"/>
    <s v="Instagram"/>
    <n v="1161"/>
    <n v="269"/>
    <n v="188193"/>
    <n v="7.34"/>
    <n v="18576"/>
    <n v="892"/>
    <x v="20"/>
  </r>
  <r>
    <d v="2024-10-14T00:00:00"/>
    <s v="Twitter"/>
    <n v="588"/>
    <n v="52"/>
    <n v="292040"/>
    <n v="8.14"/>
    <n v="9383"/>
    <n v="536"/>
    <x v="20"/>
  </r>
  <r>
    <d v="2024-10-14T00:00:00"/>
    <s v="YouTube"/>
    <n v="1457"/>
    <n v="215"/>
    <n v="325325"/>
    <n v="9.58"/>
    <n v="14178"/>
    <n v="1242"/>
    <x v="20"/>
  </r>
  <r>
    <d v="2024-10-21T00:00:00"/>
    <s v="Instagram"/>
    <n v="1190"/>
    <n v="242"/>
    <n v="86849"/>
    <n v="8.06"/>
    <n v="21254"/>
    <n v="948"/>
    <x v="21"/>
  </r>
  <r>
    <d v="2024-10-21T00:00:00"/>
    <s v="Twitter"/>
    <n v="886"/>
    <n v="124"/>
    <n v="141161"/>
    <n v="8.19"/>
    <n v="14215"/>
    <n v="762"/>
    <x v="21"/>
  </r>
  <r>
    <d v="2024-10-21T00:00:00"/>
    <s v="YouTube"/>
    <n v="1237"/>
    <n v="155"/>
    <n v="149916"/>
    <n v="4.4800000000000004"/>
    <n v="16921"/>
    <n v="1082"/>
    <x v="21"/>
  </r>
  <r>
    <d v="2024-10-28T00:00:00"/>
    <s v="Instagram"/>
    <n v="1435"/>
    <n v="261"/>
    <n v="308533"/>
    <n v="4.5199999999999996"/>
    <n v="25130"/>
    <n v="1174"/>
    <x v="22"/>
  </r>
  <r>
    <d v="2024-10-28T00:00:00"/>
    <s v="Twitter"/>
    <n v="746"/>
    <n v="282"/>
    <n v="293894"/>
    <n v="5.42"/>
    <n v="25537"/>
    <n v="464"/>
    <x v="22"/>
  </r>
  <r>
    <d v="2024-10-28T00:00:00"/>
    <s v="YouTube"/>
    <n v="759"/>
    <n v="216"/>
    <n v="147656"/>
    <n v="4.08"/>
    <n v="24943"/>
    <n v="543"/>
    <x v="22"/>
  </r>
  <r>
    <d v="2024-11-04T00:00:00"/>
    <s v="Instagram"/>
    <n v="1437"/>
    <n v="235"/>
    <n v="326791"/>
    <n v="4.0599999999999996"/>
    <n v="14563"/>
    <n v="1202"/>
    <x v="23"/>
  </r>
  <r>
    <d v="2024-11-04T00:00:00"/>
    <s v="Twitter"/>
    <n v="1463"/>
    <n v="73"/>
    <n v="348877"/>
    <n v="9.91"/>
    <n v="26273"/>
    <n v="1390"/>
    <x v="23"/>
  </r>
  <r>
    <d v="2024-11-04T00:00:00"/>
    <s v="YouTube"/>
    <n v="1208"/>
    <n v="224"/>
    <n v="122730"/>
    <n v="8.7200000000000006"/>
    <n v="10858"/>
    <n v="984"/>
    <x v="23"/>
  </r>
  <r>
    <d v="2024-11-11T00:00:00"/>
    <s v="Instagram"/>
    <n v="1391"/>
    <n v="187"/>
    <n v="306508"/>
    <n v="8.3800000000000008"/>
    <n v="25038"/>
    <n v="1204"/>
    <x v="24"/>
  </r>
  <r>
    <d v="2024-11-11T00:00:00"/>
    <s v="Twitter"/>
    <n v="655"/>
    <n v="123"/>
    <n v="202472"/>
    <n v="7.56"/>
    <n v="9092"/>
    <n v="532"/>
    <x v="24"/>
  </r>
  <r>
    <d v="2024-11-11T00:00:00"/>
    <s v="YouTube"/>
    <n v="1148"/>
    <n v="90"/>
    <n v="227249"/>
    <n v="7.24"/>
    <n v="17662"/>
    <n v="1058"/>
    <x v="24"/>
  </r>
  <r>
    <d v="2024-11-18T00:00:00"/>
    <s v="Instagram"/>
    <n v="946"/>
    <n v="270"/>
    <n v="246567"/>
    <n v="4.53"/>
    <n v="5924"/>
    <n v="676"/>
    <x v="25"/>
  </r>
  <r>
    <d v="2024-11-18T00:00:00"/>
    <s v="Twitter"/>
    <n v="791"/>
    <n v="214"/>
    <n v="114738"/>
    <n v="6.62"/>
    <n v="25347"/>
    <n v="577"/>
    <x v="25"/>
  </r>
  <r>
    <d v="2024-11-18T00:00:00"/>
    <s v="YouTube"/>
    <n v="793"/>
    <n v="111"/>
    <n v="333500"/>
    <n v="6.36"/>
    <n v="8910"/>
    <n v="682"/>
    <x v="25"/>
  </r>
  <r>
    <d v="2024-11-25T00:00:00"/>
    <s v="Instagram"/>
    <n v="663"/>
    <n v="213"/>
    <n v="352677"/>
    <n v="9"/>
    <n v="20438"/>
    <n v="450"/>
    <x v="26"/>
  </r>
  <r>
    <d v="2024-11-25T00:00:00"/>
    <s v="Twitter"/>
    <n v="954"/>
    <n v="271"/>
    <n v="160936"/>
    <n v="8.83"/>
    <n v="8760"/>
    <n v="683"/>
    <x v="26"/>
  </r>
  <r>
    <d v="2024-11-25T00:00:00"/>
    <s v="YouTube"/>
    <n v="1313"/>
    <n v="159"/>
    <n v="197183"/>
    <n v="9.7100000000000009"/>
    <n v="6625"/>
    <n v="1154"/>
    <x v="26"/>
  </r>
  <r>
    <d v="2024-12-02T00:00:00"/>
    <s v="Instagram"/>
    <n v="895"/>
    <n v="87"/>
    <n v="171271"/>
    <n v="6.68"/>
    <n v="23329"/>
    <n v="808"/>
    <x v="27"/>
  </r>
  <r>
    <d v="2024-12-02T00:00:00"/>
    <s v="Twitter"/>
    <n v="1027"/>
    <n v="156"/>
    <n v="111293"/>
    <n v="5.51"/>
    <n v="7299"/>
    <n v="871"/>
    <x v="27"/>
  </r>
  <r>
    <d v="2024-12-02T00:00:00"/>
    <s v="YouTube"/>
    <n v="990"/>
    <n v="286"/>
    <n v="351493"/>
    <n v="7.97"/>
    <n v="14496"/>
    <n v="704"/>
    <x v="27"/>
  </r>
  <r>
    <d v="2024-12-09T00:00:00"/>
    <s v="Instagram"/>
    <n v="875"/>
    <n v="264"/>
    <n v="345631"/>
    <n v="9.18"/>
    <n v="25703"/>
    <n v="611"/>
    <x v="28"/>
  </r>
  <r>
    <d v="2024-12-09T00:00:00"/>
    <s v="Twitter"/>
    <n v="599"/>
    <n v="194"/>
    <n v="105622"/>
    <n v="6.44"/>
    <n v="15108"/>
    <n v="405"/>
    <x v="28"/>
  </r>
  <r>
    <d v="2024-12-09T00:00:00"/>
    <s v="YouTube"/>
    <n v="630"/>
    <n v="248"/>
    <n v="119054"/>
    <n v="5.0199999999999996"/>
    <n v="18867"/>
    <n v="382"/>
    <x v="28"/>
  </r>
  <r>
    <d v="2024-12-16T00:00:00"/>
    <s v="Instagram"/>
    <n v="1350"/>
    <n v="233"/>
    <n v="171670"/>
    <n v="4.53"/>
    <n v="17574"/>
    <n v="1117"/>
    <x v="29"/>
  </r>
  <r>
    <d v="2024-12-16T00:00:00"/>
    <s v="Twitter"/>
    <n v="632"/>
    <n v="155"/>
    <n v="170432"/>
    <n v="9.17"/>
    <n v="12840"/>
    <n v="477"/>
    <x v="29"/>
  </r>
  <r>
    <d v="2024-12-16T00:00:00"/>
    <s v="YouTube"/>
    <n v="1182"/>
    <n v="83"/>
    <n v="140300"/>
    <n v="3.27"/>
    <n v="21079"/>
    <n v="1099"/>
    <x v="29"/>
  </r>
  <r>
    <d v="2024-12-23T00:00:00"/>
    <s v="Instagram"/>
    <n v="661"/>
    <n v="94"/>
    <n v="116538"/>
    <n v="5.31"/>
    <n v="23486"/>
    <n v="567"/>
    <x v="30"/>
  </r>
  <r>
    <d v="2024-12-23T00:00:00"/>
    <s v="Twitter"/>
    <n v="1360"/>
    <n v="227"/>
    <n v="176902"/>
    <n v="6.03"/>
    <n v="5960"/>
    <n v="1133"/>
    <x v="30"/>
  </r>
  <r>
    <d v="2024-12-23T00:00:00"/>
    <s v="YouTube"/>
    <n v="935"/>
    <n v="85"/>
    <n v="326821"/>
    <n v="8.89"/>
    <n v="13301"/>
    <n v="850"/>
    <x v="30"/>
  </r>
  <r>
    <d v="2025-01-06T00:00:00"/>
    <s v="Instagram"/>
    <n v="613"/>
    <n v="170"/>
    <n v="139266"/>
    <n v="6.06"/>
    <n v="9247"/>
    <n v="443"/>
    <x v="31"/>
  </r>
  <r>
    <d v="2025-01-06T00:00:00"/>
    <s v="Twitter"/>
    <n v="1340"/>
    <n v="57"/>
    <n v="155927"/>
    <n v="7.79"/>
    <n v="11972"/>
    <n v="1283"/>
    <x v="31"/>
  </r>
  <r>
    <d v="2025-01-06T00:00:00"/>
    <s v="YouTube"/>
    <n v="953"/>
    <n v="228"/>
    <n v="258398"/>
    <n v="9.0500000000000007"/>
    <n v="13314"/>
    <n v="725"/>
    <x v="31"/>
  </r>
  <r>
    <d v="2025-01-13T00:00:00"/>
    <s v="Instagram"/>
    <n v="532"/>
    <n v="65"/>
    <n v="338561"/>
    <n v="3.5"/>
    <n v="14749"/>
    <n v="467"/>
    <x v="32"/>
  </r>
  <r>
    <d v="2025-01-13T00:00:00"/>
    <s v="Twitter"/>
    <n v="1414"/>
    <n v="60"/>
    <n v="341856"/>
    <n v="8.76"/>
    <n v="6868"/>
    <n v="1354"/>
    <x v="32"/>
  </r>
  <r>
    <d v="2025-01-13T00:00:00"/>
    <s v="YouTube"/>
    <n v="685"/>
    <n v="165"/>
    <n v="175860"/>
    <n v="6.26"/>
    <n v="6027"/>
    <n v="520"/>
    <x v="32"/>
  </r>
  <r>
    <d v="2025-01-20T00:00:00"/>
    <s v="Instagram"/>
    <n v="601"/>
    <n v="159"/>
    <n v="327722"/>
    <n v="3.33"/>
    <n v="25267"/>
    <n v="442"/>
    <x v="33"/>
  </r>
  <r>
    <d v="2025-01-20T00:00:00"/>
    <s v="Twitter"/>
    <n v="841"/>
    <n v="295"/>
    <n v="271638"/>
    <n v="9.15"/>
    <n v="5900"/>
    <n v="546"/>
    <x v="33"/>
  </r>
  <r>
    <d v="2025-01-20T00:00:00"/>
    <s v="YouTube"/>
    <n v="1105"/>
    <n v="261"/>
    <n v="333851"/>
    <n v="6.03"/>
    <n v="11181"/>
    <n v="844"/>
    <x v="33"/>
  </r>
  <r>
    <d v="2025-01-27T00:00:00"/>
    <s v="Instagram"/>
    <n v="566"/>
    <n v="225"/>
    <n v="368984"/>
    <n v="9.82"/>
    <n v="9592"/>
    <n v="341"/>
    <x v="34"/>
  </r>
  <r>
    <d v="2025-01-27T00:00:00"/>
    <s v="Twitter"/>
    <n v="1149"/>
    <n v="280"/>
    <n v="167310"/>
    <n v="3.7"/>
    <n v="5291"/>
    <n v="869"/>
    <x v="34"/>
  </r>
  <r>
    <d v="2025-01-27T00:00:00"/>
    <s v="YouTube"/>
    <n v="819"/>
    <n v="101"/>
    <n v="194811"/>
    <n v="3.35"/>
    <n v="22244"/>
    <n v="718"/>
    <x v="34"/>
  </r>
  <r>
    <d v="2025-02-03T00:00:00"/>
    <s v="Instagram"/>
    <n v="795"/>
    <n v="60"/>
    <n v="314982"/>
    <n v="7.31"/>
    <n v="6824"/>
    <n v="735"/>
    <x v="35"/>
  </r>
  <r>
    <d v="2025-02-03T00:00:00"/>
    <s v="Twitter"/>
    <n v="681"/>
    <n v="158"/>
    <n v="75960"/>
    <n v="3.13"/>
    <n v="24112"/>
    <n v="523"/>
    <x v="35"/>
  </r>
  <r>
    <d v="2025-02-03T00:00:00"/>
    <s v="YouTube"/>
    <n v="534"/>
    <n v="112"/>
    <n v="360759"/>
    <n v="4.8899999999999997"/>
    <n v="25478"/>
    <n v="422"/>
    <x v="35"/>
  </r>
  <r>
    <d v="2025-02-10T00:00:00"/>
    <s v="Instagram"/>
    <n v="1066"/>
    <n v="151"/>
    <n v="297090"/>
    <n v="8.6300000000000008"/>
    <n v="11235"/>
    <n v="915"/>
    <x v="36"/>
  </r>
  <r>
    <d v="2025-02-10T00:00:00"/>
    <s v="Twitter"/>
    <n v="1270"/>
    <n v="162"/>
    <n v="92040"/>
    <n v="8.0299999999999994"/>
    <n v="6120"/>
    <n v="1108"/>
    <x v="36"/>
  </r>
  <r>
    <d v="2025-02-10T00:00:00"/>
    <s v="YouTube"/>
    <n v="536"/>
    <n v="198"/>
    <n v="174610"/>
    <n v="7.85"/>
    <n v="20572"/>
    <n v="338"/>
    <x v="36"/>
  </r>
  <r>
    <d v="2025-02-17T00:00:00"/>
    <s v="Instagram"/>
    <n v="819"/>
    <n v="95"/>
    <n v="177376"/>
    <n v="6.12"/>
    <n v="14975"/>
    <n v="724"/>
    <x v="37"/>
  </r>
  <r>
    <d v="2025-02-17T00:00:00"/>
    <s v="Twitter"/>
    <n v="681"/>
    <n v="218"/>
    <n v="198882"/>
    <n v="7.16"/>
    <n v="22234"/>
    <n v="463"/>
    <x v="37"/>
  </r>
  <r>
    <d v="2025-02-17T00:00:00"/>
    <s v="YouTube"/>
    <n v="646"/>
    <n v="290"/>
    <n v="336383"/>
    <n v="7.04"/>
    <n v="6532"/>
    <n v="356"/>
    <x v="37"/>
  </r>
  <r>
    <d v="2025-02-24T00:00:00"/>
    <s v="Instagram"/>
    <n v="645"/>
    <n v="267"/>
    <n v="346890"/>
    <n v="3.71"/>
    <n v="24858"/>
    <n v="378"/>
    <x v="38"/>
  </r>
  <r>
    <d v="2025-02-24T00:00:00"/>
    <s v="Twitter"/>
    <n v="886"/>
    <n v="250"/>
    <n v="168170"/>
    <n v="4.12"/>
    <n v="13883"/>
    <n v="636"/>
    <x v="38"/>
  </r>
  <r>
    <d v="2025-02-24T00:00:00"/>
    <s v="YouTube"/>
    <n v="978"/>
    <n v="279"/>
    <n v="368872"/>
    <n v="6.82"/>
    <n v="18654"/>
    <n v="699"/>
    <x v="38"/>
  </r>
  <r>
    <d v="2025-03-03T00:00:00"/>
    <s v="Instagram"/>
    <n v="1444"/>
    <n v="165"/>
    <n v="116436"/>
    <n v="8.2200000000000006"/>
    <n v="25234"/>
    <n v="1279"/>
    <x v="39"/>
  </r>
  <r>
    <d v="2025-03-03T00:00:00"/>
    <s v="Twitter"/>
    <n v="1234"/>
    <n v="228"/>
    <n v="127502"/>
    <n v="7.71"/>
    <n v="6772"/>
    <n v="1006"/>
    <x v="39"/>
  </r>
  <r>
    <d v="2025-03-03T00:00:00"/>
    <s v="YouTube"/>
    <n v="665"/>
    <n v="187"/>
    <n v="274567"/>
    <n v="7.39"/>
    <n v="22428"/>
    <n v="478"/>
    <x v="39"/>
  </r>
  <r>
    <d v="2025-03-10T00:00:00"/>
    <s v="Instagram"/>
    <n v="631"/>
    <n v="86"/>
    <n v="295090"/>
    <n v="7.89"/>
    <n v="11911"/>
    <n v="545"/>
    <x v="40"/>
  </r>
  <r>
    <d v="2025-03-10T00:00:00"/>
    <s v="Twitter"/>
    <n v="1159"/>
    <n v="154"/>
    <n v="194994"/>
    <n v="6.39"/>
    <n v="21900"/>
    <n v="1005"/>
    <x v="40"/>
  </r>
  <r>
    <d v="2025-03-10T00:00:00"/>
    <s v="YouTube"/>
    <n v="950"/>
    <n v="185"/>
    <n v="340750"/>
    <n v="6.77"/>
    <n v="25542"/>
    <n v="765"/>
    <x v="40"/>
  </r>
  <r>
    <d v="2025-03-17T00:00:00"/>
    <s v="Instagram"/>
    <n v="693"/>
    <n v="129"/>
    <n v="296031"/>
    <n v="3.41"/>
    <n v="7140"/>
    <n v="564"/>
    <x v="41"/>
  </r>
  <r>
    <d v="2025-03-17T00:00:00"/>
    <s v="Twitter"/>
    <n v="576"/>
    <n v="80"/>
    <n v="345688"/>
    <n v="4.1100000000000003"/>
    <n v="20474"/>
    <n v="496"/>
    <x v="41"/>
  </r>
  <r>
    <d v="2025-03-17T00:00:00"/>
    <s v="YouTube"/>
    <n v="1274"/>
    <n v="146"/>
    <n v="263488"/>
    <n v="9.58"/>
    <n v="8698"/>
    <n v="1128"/>
    <x v="41"/>
  </r>
  <r>
    <d v="2025-03-24T00:00:00"/>
    <s v="Instagram"/>
    <n v="818"/>
    <n v="253"/>
    <n v="184911"/>
    <n v="3.39"/>
    <n v="10402"/>
    <n v="565"/>
    <x v="42"/>
  </r>
  <r>
    <d v="2025-03-24T00:00:00"/>
    <s v="Twitter"/>
    <n v="975"/>
    <n v="162"/>
    <n v="124497"/>
    <n v="9.58"/>
    <n v="26618"/>
    <n v="813"/>
    <x v="42"/>
  </r>
  <r>
    <d v="2025-03-24T00:00:00"/>
    <s v="YouTube"/>
    <n v="1398"/>
    <n v="97"/>
    <n v="397607"/>
    <n v="5.09"/>
    <n v="7975"/>
    <n v="1301"/>
    <x v="42"/>
  </r>
  <r>
    <d v="2025-03-31T00:00:00"/>
    <s v="Instagram"/>
    <n v="591"/>
    <n v="155"/>
    <n v="138521"/>
    <n v="7.85"/>
    <n v="19054"/>
    <n v="436"/>
    <x v="43"/>
  </r>
  <r>
    <d v="2025-03-31T00:00:00"/>
    <s v="Twitter"/>
    <n v="1232"/>
    <n v="254"/>
    <n v="107718"/>
    <n v="9.7100000000000009"/>
    <n v="13740"/>
    <n v="978"/>
    <x v="43"/>
  </r>
  <r>
    <d v="2025-03-31T00:00:00"/>
    <s v="YouTube"/>
    <n v="1425"/>
    <n v="58"/>
    <n v="202234"/>
    <n v="6.67"/>
    <n v="18442"/>
    <n v="1367"/>
    <x v="43"/>
  </r>
  <r>
    <d v="2025-04-07T00:00:00"/>
    <s v="Instagram"/>
    <n v="1417"/>
    <n v="80"/>
    <n v="340987"/>
    <n v="6.13"/>
    <n v="10104"/>
    <n v="1337"/>
    <x v="44"/>
  </r>
  <r>
    <d v="2025-04-07T00:00:00"/>
    <s v="Twitter"/>
    <n v="1222"/>
    <n v="208"/>
    <n v="340098"/>
    <n v="7.34"/>
    <n v="21771"/>
    <n v="1014"/>
    <x v="44"/>
  </r>
  <r>
    <d v="2025-04-07T00:00:00"/>
    <s v="YouTube"/>
    <n v="1071"/>
    <n v="131"/>
    <n v="254727"/>
    <n v="6.87"/>
    <n v="22191"/>
    <n v="940"/>
    <x v="44"/>
  </r>
  <r>
    <d v="2025-04-14T00:00:00"/>
    <s v="Instagram"/>
    <n v="772"/>
    <n v="82"/>
    <n v="345659"/>
    <n v="3.52"/>
    <n v="27753"/>
    <n v="690"/>
    <x v="45"/>
  </r>
  <r>
    <d v="2025-04-14T00:00:00"/>
    <s v="Twitter"/>
    <n v="1472"/>
    <n v="137"/>
    <n v="213950"/>
    <n v="6.96"/>
    <n v="23736"/>
    <n v="1335"/>
    <x v="45"/>
  </r>
  <r>
    <d v="2025-04-14T00:00:00"/>
    <s v="YouTube"/>
    <n v="1472"/>
    <n v="281"/>
    <n v="258115"/>
    <n v="7.23"/>
    <n v="27393"/>
    <n v="1191"/>
    <x v="45"/>
  </r>
  <r>
    <d v="2025-04-21T00:00:00"/>
    <s v="Instagram"/>
    <n v="585"/>
    <n v="232"/>
    <n v="321258"/>
    <n v="7.42"/>
    <n v="10343"/>
    <n v="353"/>
    <x v="46"/>
  </r>
  <r>
    <d v="2025-04-21T00:00:00"/>
    <s v="Twitter"/>
    <n v="747"/>
    <n v="261"/>
    <n v="338650"/>
    <n v="7.73"/>
    <n v="25259"/>
    <n v="486"/>
    <x v="46"/>
  </r>
  <r>
    <d v="2025-04-21T00:00:00"/>
    <s v="YouTube"/>
    <n v="1113"/>
    <n v="224"/>
    <n v="272989"/>
    <n v="5.13"/>
    <n v="24827"/>
    <n v="889"/>
    <x v="46"/>
  </r>
  <r>
    <d v="2025-04-28T00:00:00"/>
    <s v="Instagram"/>
    <n v="1100"/>
    <n v="117"/>
    <n v="260204"/>
    <n v="4.4000000000000004"/>
    <n v="11908"/>
    <n v="983"/>
    <x v="47"/>
  </r>
  <r>
    <d v="2025-04-28T00:00:00"/>
    <s v="Twitter"/>
    <n v="751"/>
    <n v="170"/>
    <n v="283278"/>
    <n v="3.49"/>
    <n v="11005"/>
    <n v="581"/>
    <x v="47"/>
  </r>
  <r>
    <d v="2025-04-28T00:00:00"/>
    <s v="YouTube"/>
    <n v="864"/>
    <n v="50"/>
    <n v="277445"/>
    <n v="3.57"/>
    <n v="26333"/>
    <n v="814"/>
    <x v="47"/>
  </r>
  <r>
    <d v="2025-05-05T00:00:00"/>
    <s v="Instagram"/>
    <n v="1146"/>
    <n v="227"/>
    <n v="353781"/>
    <n v="6.41"/>
    <n v="5495"/>
    <n v="919"/>
    <x v="48"/>
  </r>
  <r>
    <d v="2025-05-05T00:00:00"/>
    <s v="Twitter"/>
    <n v="883"/>
    <n v="207"/>
    <n v="265019"/>
    <n v="6.04"/>
    <n v="15655"/>
    <n v="676"/>
    <x v="48"/>
  </r>
  <r>
    <d v="2025-05-05T00:00:00"/>
    <s v="YouTube"/>
    <n v="622"/>
    <n v="163"/>
    <n v="231925"/>
    <n v="9.18"/>
    <n v="13763"/>
    <n v="459"/>
    <x v="48"/>
  </r>
  <r>
    <d v="2025-05-12T00:00:00"/>
    <s v="Instagram"/>
    <n v="837"/>
    <n v="261"/>
    <n v="366149"/>
    <n v="6.54"/>
    <n v="26073"/>
    <n v="576"/>
    <x v="49"/>
  </r>
  <r>
    <d v="2025-05-12T00:00:00"/>
    <s v="Twitter"/>
    <n v="544"/>
    <n v="97"/>
    <n v="168375"/>
    <n v="8.66"/>
    <n v="12774"/>
    <n v="447"/>
    <x v="49"/>
  </r>
  <r>
    <d v="2025-05-12T00:00:00"/>
    <s v="YouTube"/>
    <n v="624"/>
    <n v="247"/>
    <n v="252763"/>
    <n v="3.89"/>
    <n v="19000"/>
    <n v="377"/>
    <x v="49"/>
  </r>
  <r>
    <d v="2025-05-19T00:00:00"/>
    <s v="Instagram"/>
    <n v="1073"/>
    <n v="141"/>
    <n v="118393"/>
    <n v="7.95"/>
    <n v="14051"/>
    <n v="932"/>
    <x v="50"/>
  </r>
  <r>
    <d v="2025-05-19T00:00:00"/>
    <s v="Twitter"/>
    <n v="1430"/>
    <n v="74"/>
    <n v="327012"/>
    <n v="6.66"/>
    <n v="27782"/>
    <n v="1356"/>
    <x v="50"/>
  </r>
  <r>
    <d v="2025-05-19T00:00:00"/>
    <s v="YouTube"/>
    <n v="1358"/>
    <n v="77"/>
    <n v="169688"/>
    <n v="5.25"/>
    <n v="7859"/>
    <n v="1281"/>
    <x v="50"/>
  </r>
  <r>
    <d v="2025-05-26T00:00:00"/>
    <s v="Instagram"/>
    <n v="1242"/>
    <n v="201"/>
    <n v="271935"/>
    <n v="5.07"/>
    <n v="15773"/>
    <n v="1041"/>
    <x v="51"/>
  </r>
  <r>
    <d v="2025-05-26T00:00:00"/>
    <s v="Twitter"/>
    <n v="1389"/>
    <n v="205"/>
    <n v="315981"/>
    <n v="7.62"/>
    <n v="20595"/>
    <n v="1184"/>
    <x v="51"/>
  </r>
  <r>
    <d v="2025-05-26T00:00:00"/>
    <s v="YouTube"/>
    <n v="826"/>
    <n v="142"/>
    <n v="341016"/>
    <n v="7.44"/>
    <n v="12031"/>
    <n v="684"/>
    <x v="51"/>
  </r>
  <r>
    <d v="2025-06-02T00:00:00"/>
    <s v="Instagram"/>
    <n v="618"/>
    <n v="264"/>
    <n v="285164"/>
    <n v="4.8600000000000003"/>
    <n v="15128"/>
    <n v="354"/>
    <x v="52"/>
  </r>
  <r>
    <d v="2025-06-02T00:00:00"/>
    <s v="Twitter"/>
    <n v="1419"/>
    <n v="293"/>
    <n v="116632"/>
    <n v="6.93"/>
    <n v="11826"/>
    <n v="1126"/>
    <x v="52"/>
  </r>
  <r>
    <d v="2025-06-02T00:00:00"/>
    <s v="YouTube"/>
    <n v="637"/>
    <n v="68"/>
    <n v="115694"/>
    <n v="9.99"/>
    <n v="12562"/>
    <n v="569"/>
    <x v="52"/>
  </r>
  <r>
    <d v="2025-06-09T00:00:00"/>
    <s v="Instagram"/>
    <n v="917"/>
    <n v="187"/>
    <n v="64444"/>
    <n v="5.22"/>
    <n v="13013"/>
    <n v="730"/>
    <x v="53"/>
  </r>
  <r>
    <d v="2025-06-09T00:00:00"/>
    <s v="Twitter"/>
    <n v="810"/>
    <n v="232"/>
    <n v="362559"/>
    <n v="5.17"/>
    <n v="12937"/>
    <n v="578"/>
    <x v="53"/>
  </r>
  <r>
    <d v="2025-06-09T00:00:00"/>
    <s v="YouTube"/>
    <n v="1183"/>
    <n v="248"/>
    <n v="226881"/>
    <n v="5.17"/>
    <n v="14534"/>
    <n v="935"/>
    <x v="53"/>
  </r>
  <r>
    <d v="2025-06-16T00:00:00"/>
    <s v="Instagram"/>
    <n v="765"/>
    <n v="67"/>
    <n v="283537"/>
    <n v="6.18"/>
    <n v="8182"/>
    <n v="698"/>
    <x v="54"/>
  </r>
  <r>
    <d v="2025-06-16T00:00:00"/>
    <s v="Twitter"/>
    <n v="540"/>
    <n v="215"/>
    <n v="62837"/>
    <n v="5.3"/>
    <n v="10615"/>
    <n v="325"/>
    <x v="54"/>
  </r>
  <r>
    <d v="2025-06-16T00:00:00"/>
    <s v="YouTube"/>
    <n v="1145"/>
    <n v="151"/>
    <n v="182759"/>
    <n v="5.99"/>
    <n v="20109"/>
    <n v="994"/>
    <x v="54"/>
  </r>
  <r>
    <d v="2025-06-23T00:00:00"/>
    <s v="Instagram"/>
    <n v="564"/>
    <n v="244"/>
    <n v="279405"/>
    <n v="8.43"/>
    <n v="26024"/>
    <n v="320"/>
    <x v="55"/>
  </r>
  <r>
    <d v="2025-06-23T00:00:00"/>
    <s v="Twitter"/>
    <n v="668"/>
    <n v="124"/>
    <n v="257485"/>
    <n v="7.55"/>
    <n v="26730"/>
    <n v="544"/>
    <x v="55"/>
  </r>
  <r>
    <d v="2025-06-23T00:00:00"/>
    <s v="YouTube"/>
    <n v="761"/>
    <n v="241"/>
    <n v="154977"/>
    <n v="5.63"/>
    <n v="10563"/>
    <n v="520"/>
    <x v="55"/>
  </r>
  <r>
    <d v="2025-06-30T00:00:00"/>
    <s v="Instagram"/>
    <n v="593"/>
    <n v="108"/>
    <n v="216500"/>
    <n v="4.71"/>
    <n v="27575"/>
    <n v="485"/>
    <x v="56"/>
  </r>
  <r>
    <d v="2025-06-30T00:00:00"/>
    <s v="Twitter"/>
    <n v="1349"/>
    <n v="115"/>
    <n v="102102"/>
    <n v="5.28"/>
    <n v="14479"/>
    <n v="1234"/>
    <x v="56"/>
  </r>
  <r>
    <d v="2025-06-30T00:00:00"/>
    <s v="YouTube"/>
    <n v="693"/>
    <n v="97"/>
    <n v="92025"/>
    <n v="5.95"/>
    <n v="15915"/>
    <n v="596"/>
    <x v="56"/>
  </r>
  <r>
    <d v="2025-07-07T00:00:00"/>
    <s v="Instagram"/>
    <n v="974"/>
    <n v="143"/>
    <n v="247965"/>
    <n v="9.98"/>
    <n v="12767"/>
    <n v="831"/>
    <x v="57"/>
  </r>
  <r>
    <d v="2025-07-07T00:00:00"/>
    <s v="Twitter"/>
    <n v="1155"/>
    <n v="122"/>
    <n v="387352"/>
    <n v="9.93"/>
    <n v="12170"/>
    <n v="1033"/>
    <x v="57"/>
  </r>
  <r>
    <d v="2025-07-07T00:00:00"/>
    <s v="YouTube"/>
    <n v="1051"/>
    <n v="246"/>
    <n v="253985"/>
    <n v="9.08"/>
    <n v="7245"/>
    <n v="805"/>
    <x v="57"/>
  </r>
  <r>
    <d v="2025-07-14T00:00:00"/>
    <s v="Instagram"/>
    <n v="1457"/>
    <n v="183"/>
    <n v="129640"/>
    <n v="7.98"/>
    <n v="12985"/>
    <n v="1274"/>
    <x v="58"/>
  </r>
  <r>
    <d v="2025-07-14T00:00:00"/>
    <s v="Twitter"/>
    <n v="670"/>
    <n v="242"/>
    <n v="281913"/>
    <n v="9.6199999999999992"/>
    <n v="16377"/>
    <n v="428"/>
    <x v="58"/>
  </r>
  <r>
    <d v="2025-07-14T00:00:00"/>
    <s v="YouTube"/>
    <n v="1111"/>
    <n v="159"/>
    <n v="360770"/>
    <n v="8.7100000000000009"/>
    <n v="11453"/>
    <n v="952"/>
    <x v="58"/>
  </r>
  <r>
    <d v="2025-07-21T00:00:00"/>
    <s v="Instagram"/>
    <n v="1197"/>
    <n v="246"/>
    <n v="127273"/>
    <n v="6.69"/>
    <n v="12323"/>
    <n v="951"/>
    <x v="59"/>
  </r>
  <r>
    <d v="2025-07-21T00:00:00"/>
    <s v="Twitter"/>
    <n v="754"/>
    <n v="150"/>
    <n v="189622"/>
    <n v="4.25"/>
    <n v="11911"/>
    <n v="604"/>
    <x v="59"/>
  </r>
  <r>
    <d v="2025-07-21T00:00:00"/>
    <s v="YouTube"/>
    <n v="1246"/>
    <n v="107"/>
    <n v="350949"/>
    <n v="4.9800000000000004"/>
    <n v="27809"/>
    <n v="1139"/>
    <x v="59"/>
  </r>
  <r>
    <d v="2025-07-28T00:00:00"/>
    <s v="Instagram"/>
    <n v="780"/>
    <n v="213"/>
    <n v="121431"/>
    <n v="4.97"/>
    <n v="21464"/>
    <n v="567"/>
    <x v="60"/>
  </r>
  <r>
    <d v="2025-07-28T00:00:00"/>
    <s v="Twitter"/>
    <n v="1425"/>
    <n v="143"/>
    <n v="116742"/>
    <n v="3.71"/>
    <n v="27126"/>
    <n v="1282"/>
    <x v="60"/>
  </r>
  <r>
    <d v="2025-07-28T00:00:00"/>
    <s v="YouTube"/>
    <n v="1490"/>
    <n v="103"/>
    <n v="81184"/>
    <n v="7.79"/>
    <n v="10681"/>
    <n v="1387"/>
    <x v="60"/>
  </r>
  <r>
    <d v="2025-08-04T00:00:00"/>
    <s v="Instagram"/>
    <n v="949"/>
    <n v="282"/>
    <n v="87126"/>
    <n v="4.96"/>
    <n v="5413"/>
    <n v="667"/>
    <x v="61"/>
  </r>
  <r>
    <d v="2025-08-04T00:00:00"/>
    <s v="Twitter"/>
    <n v="640"/>
    <n v="141"/>
    <n v="267546"/>
    <n v="8.58"/>
    <n v="25058"/>
    <n v="499"/>
    <x v="61"/>
  </r>
  <r>
    <d v="2025-08-04T00:00:00"/>
    <s v="YouTube"/>
    <n v="616"/>
    <n v="93"/>
    <n v="133082"/>
    <n v="8.51"/>
    <n v="18303"/>
    <n v="523"/>
    <x v="61"/>
  </r>
  <r>
    <d v="2025-08-11T00:00:00"/>
    <s v="Instagram"/>
    <n v="1080"/>
    <n v="184"/>
    <n v="340557"/>
    <n v="5.41"/>
    <n v="5526"/>
    <n v="896"/>
    <x v="62"/>
  </r>
  <r>
    <d v="2025-08-11T00:00:00"/>
    <s v="Twitter"/>
    <n v="938"/>
    <n v="236"/>
    <n v="116472"/>
    <n v="8.7200000000000006"/>
    <n v="17460"/>
    <n v="702"/>
    <x v="62"/>
  </r>
  <r>
    <d v="2025-08-11T00:00:00"/>
    <s v="YouTube"/>
    <n v="1007"/>
    <n v="258"/>
    <n v="113412"/>
    <n v="7.71"/>
    <n v="14475"/>
    <n v="749"/>
    <x v="62"/>
  </r>
  <r>
    <d v="2025-08-18T00:00:00"/>
    <s v="Instagram"/>
    <n v="541"/>
    <n v="208"/>
    <n v="157547"/>
    <n v="8.35"/>
    <n v="20162"/>
    <n v="333"/>
    <x v="63"/>
  </r>
  <r>
    <d v="2025-08-18T00:00:00"/>
    <s v="Twitter"/>
    <n v="745"/>
    <n v="98"/>
    <n v="354816"/>
    <n v="4.03"/>
    <n v="17103"/>
    <n v="647"/>
    <x v="63"/>
  </r>
  <r>
    <d v="2025-08-18T00:00:00"/>
    <s v="YouTube"/>
    <n v="936"/>
    <n v="97"/>
    <n v="151799"/>
    <n v="9.3699999999999992"/>
    <n v="15461"/>
    <n v="839"/>
    <x v="63"/>
  </r>
  <r>
    <d v="2025-08-25T00:00:00"/>
    <s v="Instagram"/>
    <n v="1183"/>
    <n v="223"/>
    <n v="143811"/>
    <n v="6.07"/>
    <n v="22103"/>
    <n v="960"/>
    <x v="64"/>
  </r>
  <r>
    <d v="2025-08-25T00:00:00"/>
    <s v="Twitter"/>
    <n v="1413"/>
    <n v="245"/>
    <n v="296450"/>
    <n v="6.52"/>
    <n v="11625"/>
    <n v="1168"/>
    <x v="64"/>
  </r>
  <r>
    <d v="2025-08-25T00:00:00"/>
    <s v="YouTube"/>
    <n v="791"/>
    <n v="273"/>
    <n v="144049"/>
    <n v="3.08"/>
    <n v="5281"/>
    <n v="518"/>
    <x v="64"/>
  </r>
  <r>
    <d v="2025-09-01T00:00:00"/>
    <s v="Instagram"/>
    <n v="1052"/>
    <n v="180"/>
    <n v="272534"/>
    <n v="5.34"/>
    <n v="13424"/>
    <n v="872"/>
    <x v="65"/>
  </r>
  <r>
    <d v="2025-09-01T00:00:00"/>
    <s v="Twitter"/>
    <n v="572"/>
    <n v="270"/>
    <n v="82265"/>
    <n v="3.65"/>
    <n v="13140"/>
    <n v="302"/>
    <x v="65"/>
  </r>
  <r>
    <d v="2025-09-01T00:00:00"/>
    <s v="YouTube"/>
    <n v="503"/>
    <n v="253"/>
    <n v="313562"/>
    <n v="4.18"/>
    <n v="19538"/>
    <n v="250"/>
    <x v="65"/>
  </r>
  <r>
    <d v="2025-09-08T00:00:00"/>
    <s v="Instagram"/>
    <n v="1017"/>
    <n v="197"/>
    <n v="89918"/>
    <n v="3.91"/>
    <n v="7881"/>
    <n v="820"/>
    <x v="66"/>
  </r>
  <r>
    <d v="2025-09-08T00:00:00"/>
    <s v="Twitter"/>
    <n v="860"/>
    <n v="244"/>
    <n v="348686"/>
    <n v="5.12"/>
    <n v="11418"/>
    <n v="616"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1B3BA-98AE-4743-9922-35B88C25C07E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29:F35" firstHeaderRow="0" firstDataRow="1" firstDataCol="2"/>
  <pivotFields count="15">
    <pivotField dataField="1"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numFmtId="166" outline="0" showAll="0" defaultSubtotal="0"/>
    <pivotField axis="axisRow" compact="0" outline="0" showAll="0" defaultSubtotal="0">
      <items count="3">
        <item x="2"/>
        <item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0" outline="0" showAll="0" defaultSubtotal="0"/>
    <pivotField compact="0" outline="0" showAll="0" defaultSubtotal="0"/>
  </pivotFields>
  <rowFields count="2">
    <field x="3"/>
    <field x="1"/>
  </rowFields>
  <rowItems count="6">
    <i>
      <x/>
      <x v="2"/>
    </i>
    <i>
      <x v="1"/>
      <x/>
    </i>
    <i r="1">
      <x v="1"/>
    </i>
    <i>
      <x v="2"/>
      <x/>
    </i>
    <i r="1">
      <x v="1"/>
    </i>
    <i r="1"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5" baseField="0" baseItem="0"/>
    <dataField name="Sum of Shares" fld="6" baseField="0" baseItem="0"/>
    <dataField name="Sum of Comments" fld="7" baseField="0" baseItem="0"/>
    <dataField name="Count of Pos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4887B-E0BE-4A0F-B8CE-89D6515232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7:F11" firstHeaderRow="0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166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Engagement Rate%" fld="13" subtotal="average" baseField="0" baseItem="0" numFmtId="10"/>
    <dataField name="Count of Post Text" fld="4" subtotal="count" baseField="0" baseItem="0"/>
    <dataField name="Sum of Likes" fld="5" baseField="0" baseItem="0"/>
    <dataField name="Sum of Comments" fld="7" baseField="0" baseItem="0"/>
    <dataField name="Sum of Shar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3AB58-E5BD-41B4-ADBA-BA61774D937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50:D56" firstHeaderRow="0" firstDataRow="1" firstDataCol="1"/>
  <pivotFields count="15">
    <pivotField dataField="1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osts" fld="0" subtotal="count" baseField="0" baseItem="0"/>
    <dataField name="Average of Engagement_Rate" fld="11" subtotal="average" baseField="0" baseItem="0"/>
    <dataField name="Average of Clicks" fld="10" subtotal="average" baseField="0" baseItem="0"/>
  </dataFields>
  <formats count="5">
    <format dxfId="34">
      <pivotArea dataOnly="0" outline="0" fieldPosition="0">
        <references count="1">
          <reference field="4294967294" count="1">
            <x v="1"/>
          </reference>
        </references>
      </pivotArea>
    </format>
    <format dxfId="33">
      <pivotArea field="13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grandRow="1" outline="0" collapsedLevelsAreSubtotals="1" fieldPosition="0"/>
    </format>
    <format dxfId="30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C90E5-5283-4B22-86F1-E9D089572FA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">
  <location ref="A39:D45" firstHeaderRow="0" firstDataRow="1" firstDataCol="1"/>
  <pivotFields count="15">
    <pivotField dataField="1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</pivotFields>
  <rowFields count="1">
    <field x="13"/>
  </rowFields>
  <rowItems count="6">
    <i>
      <x v="4"/>
    </i>
    <i>
      <x/>
    </i>
    <i>
      <x v="3"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osts" fld="0" subtotal="count" baseField="0" baseItem="0"/>
    <dataField name="Average of Engagement_Rate" fld="11" subtotal="average" baseField="0" baseItem="0"/>
    <dataField name="Average of Clicks" fld="10" subtotal="average" baseField="0" baseItem="0"/>
  </dataFields>
  <formats count="1">
    <format dxfId="35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CC041-161C-4564-8540-B818894244B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14:F18" firstHeaderRow="0" firstDataRow="1" firstDataCol="1"/>
  <pivotFields count="11">
    <pivotField numFmtId="166" showAll="0"/>
    <pivotField axis="axisRow" multipleItemSelectionAllowed="1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w Followers" fld="2" baseField="0" baseItem="0"/>
    <dataField name="Sum of Unfollows" fld="3" baseField="0" baseItem="0"/>
    <dataField name="Max of Total_Followers" fld="4" subtotal="max" baseField="0" baseItem="0"/>
    <dataField name=" Net Gain" fld="7" baseField="0" baseItem="0"/>
    <dataField name=" Growth Rate" fld="8" baseField="0" baseItem="0"/>
  </dataFields>
  <formats count="3">
    <format dxfId="23">
      <pivotArea dataOnly="0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CE4CE-7DD7-40E9-810A-D316E8F62289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5:F9" firstHeaderRow="0" firstDataRow="1" firstDataCol="1"/>
  <pivotFields count="20">
    <pivotField dataField="1" showAll="0"/>
    <pivotField axis="axisRow" showAll="0">
      <items count="4">
        <item x="0"/>
        <item x="1"/>
        <item x="2"/>
        <item t="default"/>
      </items>
    </pivotField>
    <pivotField numFmtId="166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numFmtId="10"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Engagement_Rate" fld="13" subtotal="average" baseField="0" baseItem="0" numFmtId="10"/>
    <dataField name="Sum of Impressions" fld="8" baseField="0" baseItem="0"/>
    <dataField name="Sum of Clicks" fld="10" baseField="0" baseItem="0"/>
    <dataField name="Count of Post ID" fld="0" subtotal="count" baseField="0" baseItem="0"/>
    <dataField name="Sum of CTR(%)" fld="19" baseField="0" baseItem="0"/>
  </dataFields>
  <formats count="1">
    <format dxfId="24">
      <pivotArea dataOnly="0" outline="0" fieldPosition="0">
        <references count="1">
          <reference field="4294967294" count="1">
            <x v="4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0FBA0-5F01-44C1-B339-7CF5923FCAF7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Platform">
  <location ref="A35:D38" firstHeaderRow="0" firstDataRow="1" firstDataCol="1"/>
  <pivotFields count="11"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Ad Spend ($)" fld="6" baseField="0" baseItem="0"/>
    <dataField name="Average of Engagement_Rate" fld="5" subtotal="average" baseField="0" baseItem="0"/>
    <dataField name="Sum of New_Followers" fld="2" baseField="0" baseItem="0"/>
  </dataFields>
  <formats count="3">
    <format dxfId="27">
      <pivotArea dataOnly="0" outline="0" fieldPosition="0">
        <references count="1">
          <reference field="4294967294" count="1">
            <x v="1"/>
          </reference>
        </references>
      </pivotArea>
    </format>
    <format dxfId="26">
      <pivotArea outline="0" collapsedLevelsAreSubtotals="1" fieldPosition="0"/>
    </format>
    <format dxfId="25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FBF7F-9B1B-40E9-BB0F-3FDD7AD2A797}" name="PivotTable2" cacheId="2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latform">
  <location ref="A23:F27" firstHeaderRow="0" firstDataRow="1" firstDataCol="1"/>
  <pivotFields count="11">
    <pivotField numFmtId="166"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Ad Spend ($)" fld="6" baseField="0" baseItem="0"/>
    <dataField name="Average of Engagement_Rate" fld="5" subtotal="average" baseField="0" baseItem="0"/>
    <dataField name="Sum of New_Followers" fld="2" baseField="0" baseItem="0"/>
    <dataField name="Cost per Follower ($)" fld="9" baseField="0" baseItem="0"/>
    <dataField name="ROI (%)" fld="10" baseField="0" baseItem="0"/>
  </dataFields>
  <formats count="2">
    <format dxfId="29">
      <pivotArea dataOnly="0" outline="0" fieldPosition="0">
        <references count="1">
          <reference field="4294967294" count="1">
            <x v="1"/>
          </reference>
        </references>
      </pivotArea>
    </format>
    <format dxfId="28">
      <pivotArea dataOnly="0" outline="0" fieldPosition="0">
        <references count="1">
          <reference field="4294967294" count="1">
            <x v="4"/>
          </reference>
        </references>
      </pivotArea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470BE-5A6F-44C8-AF02-E4FAD91ABFB5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E20" firstHeaderRow="1" firstDataRow="2" firstDataCol="1"/>
  <pivotFields count="2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latforms"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 Total Engagement" fld="15" baseField="0" baseItem="0"/>
  </dataField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F9484-E0C1-432A-AAC2-A567860DCB5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4:C10" firstHeaderRow="0" firstDataRow="1" firstDataCol="1"/>
  <pivotFields count="15">
    <pivotField dataField="1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A of Hashtags Used " fld="0" subtotal="count" baseField="0" baseItem="0"/>
    <dataField name="Average of Total_Engagement" fld="14" subtotal="average" baseField="0" baseItem="0"/>
  </dataFields>
  <formats count="1">
    <format dxfId="2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F9F92-66D9-40CC-83B1-30B433DBDE8C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>
  <location ref="A32:B37" firstHeaderRow="1" firstDataRow="1" firstDataCol="1"/>
  <pivotFields count="20">
    <pivotField showAll="0"/>
    <pivotField showAll="0">
      <items count="4">
        <item x="0"/>
        <item x="1"/>
        <item x="2"/>
        <item t="default"/>
      </items>
    </pivotField>
    <pivotField numFmtId="14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dataField="1" showAll="0"/>
    <pivotField axis="axisRow" showAll="0">
      <items count="6">
        <item x="1"/>
        <item x="4"/>
        <item h="1" x="0"/>
        <item x="3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16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Total_Engagement" fld="1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99A5E-F2CA-40B6-93B1-29749924ED40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S">
  <location ref="A4:H9" firstHeaderRow="0" firstDataRow="1" firstDataCol="1"/>
  <pivotFields count="20">
    <pivotField showAll="0"/>
    <pivotField showAll="0"/>
    <pivotField numFmtId="166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  <pivotField dataField="1" showAll="0"/>
    <pivotField axis="axisRow" showAll="0">
      <items count="6">
        <item x="1"/>
        <item x="4"/>
        <item h="1" x="0"/>
        <item x="3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16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 Impressions" fld="8" baseField="0" baseItem="0"/>
    <dataField name="Total Likes" fld="5" baseField="0" baseItem="0"/>
    <dataField name="Total Clicks" fld="10" baseField="0" baseItem="0"/>
    <dataField name="Total Engagement" fld="15" baseField="0" baseItem="0"/>
    <dataField name="Average of Impressions" fld="8" subtotal="average" baseField="0" baseItem="0"/>
    <dataField name="Average of Likes" fld="5" subtotal="average" baseField="0" baseItem="0"/>
    <dataField name="Average of Clicks" fld="10" subtotal="average" baseField="0" baseItem="0"/>
  </dataFields>
  <formats count="3">
    <format dxfId="83">
      <pivotArea dataOnly="0" outline="0" fieldPosition="0">
        <references count="1">
          <reference field="4294967294" count="1">
            <x v="4"/>
          </reference>
        </references>
      </pivotArea>
    </format>
    <format dxfId="82">
      <pivotArea dataOnly="0" outline="0" fieldPosition="0">
        <references count="1">
          <reference field="4294967294" count="1">
            <x v="5"/>
          </reference>
        </references>
      </pivotArea>
    </format>
    <format dxfId="81">
      <pivotArea dataOnly="0" outline="0" fieldPosition="0">
        <references count="1">
          <reference field="4294967294" count="1">
            <x v="6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DC59F-9011-4838-B821-01BB03B45260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70" firstHeaderRow="0" firstDataRow="1" firstDataCol="1"/>
  <pivotFields count="9">
    <pivotField numFmtId="166"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axis="axisRow" showAll="0" sortType="descending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97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98"/>
        <item m="1" x="116"/>
        <item m="1" x="117"/>
        <item m="1" x="118"/>
        <item m="1" x="67"/>
        <item m="1" x="68"/>
        <item m="1" x="69"/>
        <item m="1" x="70"/>
        <item m="1" x="71"/>
        <item m="1" x="72"/>
        <item m="1" x="73"/>
        <item m="1" x="99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100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101"/>
        <item m="1" x="94"/>
        <item m="1" x="95"/>
        <item m="1" x="96"/>
        <item m="1" x="102"/>
        <item m="1" x="103"/>
        <item m="1" x="104"/>
        <item m="1" x="1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8">
    <i>
      <x v="23"/>
    </i>
    <i>
      <x v="50"/>
    </i>
    <i>
      <x v="1"/>
    </i>
    <i>
      <x v="44"/>
    </i>
    <i>
      <x v="60"/>
    </i>
    <i>
      <x v="45"/>
    </i>
    <i>
      <x v="3"/>
    </i>
    <i>
      <x v="6"/>
    </i>
    <i>
      <x v="18"/>
    </i>
    <i>
      <x v="11"/>
    </i>
    <i>
      <x v="51"/>
    </i>
    <i>
      <x v="24"/>
    </i>
    <i>
      <x v="21"/>
    </i>
    <i>
      <x v="17"/>
    </i>
    <i>
      <x v="43"/>
    </i>
    <i>
      <x v="2"/>
    </i>
    <i>
      <x v="39"/>
    </i>
    <i>
      <x v="59"/>
    </i>
    <i>
      <x v="10"/>
    </i>
    <i>
      <x v="29"/>
    </i>
    <i>
      <x v="42"/>
    </i>
    <i>
      <x v="20"/>
    </i>
    <i>
      <x v="57"/>
    </i>
    <i>
      <x v="58"/>
    </i>
    <i>
      <x v="64"/>
    </i>
    <i>
      <x v="15"/>
    </i>
    <i>
      <x v="30"/>
    </i>
    <i>
      <x v="14"/>
    </i>
    <i>
      <x v="31"/>
    </i>
    <i>
      <x v="13"/>
    </i>
    <i>
      <x v="4"/>
    </i>
    <i>
      <x v="5"/>
    </i>
    <i>
      <x v="27"/>
    </i>
    <i>
      <x v="47"/>
    </i>
    <i>
      <x v="7"/>
    </i>
    <i>
      <x v="36"/>
    </i>
    <i>
      <x v="62"/>
    </i>
    <i>
      <x v="32"/>
    </i>
    <i>
      <x v="19"/>
    </i>
    <i>
      <x/>
    </i>
    <i>
      <x v="56"/>
    </i>
    <i>
      <x v="40"/>
    </i>
    <i>
      <x v="12"/>
    </i>
    <i>
      <x v="26"/>
    </i>
    <i>
      <x v="8"/>
    </i>
    <i>
      <x v="53"/>
    </i>
    <i>
      <x v="41"/>
    </i>
    <i>
      <x v="22"/>
    </i>
    <i>
      <x v="16"/>
    </i>
    <i>
      <x v="9"/>
    </i>
    <i>
      <x v="48"/>
    </i>
    <i>
      <x v="52"/>
    </i>
    <i>
      <x v="54"/>
    </i>
    <i>
      <x v="25"/>
    </i>
    <i>
      <x v="34"/>
    </i>
    <i>
      <x v="33"/>
    </i>
    <i>
      <x v="63"/>
    </i>
    <i>
      <x v="46"/>
    </i>
    <i>
      <x v="38"/>
    </i>
    <i>
      <x v="61"/>
    </i>
    <i>
      <x v="35"/>
    </i>
    <i>
      <x v="37"/>
    </i>
    <i>
      <x v="66"/>
    </i>
    <i>
      <x v="65"/>
    </i>
    <i>
      <x v="49"/>
    </i>
    <i>
      <x v="28"/>
    </i>
    <i>
      <x v="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Increase" fld="7" baseField="0" baseItem="0"/>
    <dataField name="Max of Total_Followers" fld="4" subtotal="max" baseField="8" baseItem="0"/>
    <dataField name="Sum of Engagement_Ra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CD0F8D-6D45-4B85-914E-8689797BDE1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Engagement_Rate" tableColumnId="12"/>
      <queryTableField id="13" name="Rank" tableColumnId="13"/>
      <queryTableField id="14" name="Valu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B0D760-A72D-43A7-B639-CD84ABA07D49}" name="Table1" displayName="Table1" ref="A1:O484" tableType="queryTable" totalsRowShown="0">
  <autoFilter ref="A1:O484" xr:uid="{50B0D760-A72D-43A7-B639-CD84ABA07D49}"/>
  <tableColumns count="15">
    <tableColumn id="1" xr3:uid="{FFE9A45B-02AB-424A-881F-94F36B2CDB8F}" uniqueName="1" name="Post ID" queryTableFieldId="1" dataDxfId="72"/>
    <tableColumn id="2" xr3:uid="{66D4C329-9848-418E-AF1C-2420F1978F57}" uniqueName="2" name="Platform" queryTableFieldId="2" dataDxfId="71"/>
    <tableColumn id="3" xr3:uid="{073CFBBB-5AE9-4BE6-A017-422EF4BD8A1F}" uniqueName="3" name="Date" queryTableFieldId="3" dataDxfId="70"/>
    <tableColumn id="4" xr3:uid="{4E42AF7A-6EF0-4BEA-BC19-CBD4C2A1E770}" uniqueName="4" name="Content Type" queryTableFieldId="4" dataDxfId="69"/>
    <tableColumn id="5" xr3:uid="{E197EB74-E6B9-4C8C-899F-2A00A10DD240}" uniqueName="5" name="Post Text" queryTableFieldId="5" dataDxfId="68"/>
    <tableColumn id="6" xr3:uid="{D1947650-59CB-4C8B-A462-407D64AA9E9B}" uniqueName="6" name="Likes" queryTableFieldId="6"/>
    <tableColumn id="7" xr3:uid="{52AB30E0-5396-4206-B545-25DC270D08B2}" uniqueName="7" name="Shares" queryTableFieldId="7"/>
    <tableColumn id="8" xr3:uid="{6B3CA01D-6F51-44E4-8C02-7F378BFE86F7}" uniqueName="8" name="Comments" queryTableFieldId="8"/>
    <tableColumn id="9" xr3:uid="{2E412FC4-0A98-4F5C-A867-F9F08F35161B}" uniqueName="9" name="Impressions" queryTableFieldId="9"/>
    <tableColumn id="10" xr3:uid="{BE5D9A3D-599E-49D2-9550-8CF97447E7F1}" uniqueName="10" name="Reach" queryTableFieldId="10"/>
    <tableColumn id="11" xr3:uid="{68C2E411-E37E-49EA-81F5-537DA7427E57}" uniqueName="11" name="Clicks" queryTableFieldId="11"/>
    <tableColumn id="12" xr3:uid="{2D325EAA-B185-4D12-A164-F8309E32A610}" uniqueName="12" name="Engagement_Rate" queryTableFieldId="12"/>
    <tableColumn id="13" xr3:uid="{7324ED28-ED67-4F4F-956A-986E032128D0}" uniqueName="13" name="Rank" queryTableFieldId="13"/>
    <tableColumn id="14" xr3:uid="{E70609DE-8498-4946-974C-F11915E6C380}" uniqueName="14" name="Value" queryTableFieldId="14" dataDxfId="67"/>
    <tableColumn id="15" xr3:uid="{3FD557F4-B82F-4A59-84B4-111539CDD06D}" uniqueName="15" name="Total_Engagement" queryTableFieldId="15" dataDxfId="66">
      <calculatedColumnFormula xml:space="preserve"> F2 + G2+H2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F5849E-576E-4868-B47F-3A6ADC1D41B8}" name="Table5" displayName="Table5" ref="L1:L1048576" totalsRowShown="0" headerRowDxfId="65">
  <tableColumns count="1">
    <tableColumn id="1" xr3:uid="{D750D630-C186-4B68-AF08-CFEE46DC0D34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FFAEF-9CAD-4D32-ADBC-F7D40D31E5DA}" name="Table2" displayName="Table2" ref="A1:S301" totalsRowShown="0" headerRowDxfId="64">
  <tableColumns count="19">
    <tableColumn id="1" xr3:uid="{D3F27FEB-F8DF-491A-A136-BA97220103EF}" name="Post ID" dataDxfId="63"/>
    <tableColumn id="2" xr3:uid="{2C3CC20F-2036-4864-A9A7-A4DD2BDBE16F}" name="Platform" dataDxfId="62"/>
    <tableColumn id="3" xr3:uid="{1E539618-179C-45C7-8698-50672DFE5A81}" name="Date" dataDxfId="61"/>
    <tableColumn id="4" xr3:uid="{D274E43D-DDE0-40C8-8BE4-D21D60237E81}" name="Content Type" dataDxfId="60"/>
    <tableColumn id="5" xr3:uid="{8685B5C7-77A7-4FB2-9295-2454D68ACA3E}" name="Post Text" dataDxfId="59"/>
    <tableColumn id="6" xr3:uid="{B2BE1974-A366-49C2-9BDE-70B6F534DFEE}" name="Likes" dataDxfId="58"/>
    <tableColumn id="7" xr3:uid="{921024A3-BB5A-4270-8FE4-86CB6304BE80}" name="Shares" dataDxfId="57"/>
    <tableColumn id="8" xr3:uid="{86D023C4-989A-4F9A-9E1B-AA781FA5905A}" name="Comments" dataDxfId="56"/>
    <tableColumn id="9" xr3:uid="{118E04B4-46EC-40B4-875F-6E2CA15F173A}" name="Impressions" dataDxfId="55"/>
    <tableColumn id="10" xr3:uid="{057EB1DB-2F6C-418C-ABE5-6AB16F414F49}" name="Reach" dataDxfId="54"/>
    <tableColumn id="11" xr3:uid="{229A80B9-E5AA-4816-BA6C-886009BBC770}" name="Clicks" dataDxfId="53"/>
    <tableColumn id="12" xr3:uid="{27786980-33B2-44A2-9747-745F68958705}" name="Hashtag_1" dataDxfId="52"/>
    <tableColumn id="13" xr3:uid="{B40C0DD6-65E0-4A4B-AFEE-FD961A1B70B0}" name="Hashtag_2" dataDxfId="51"/>
    <tableColumn id="14" xr3:uid="{93A9356C-2D4F-42BF-A933-FAB4FC4FA08A}" name="Engagement_Rate" dataDxfId="50">
      <calculatedColumnFormula>(F2+G2+H2)/I2</calculatedColumnFormula>
    </tableColumn>
    <tableColumn id="15" xr3:uid="{B34140B2-A5EC-4D3F-BF94-DA1865C5AA4B}" name="Rank">
      <calculatedColumnFormula>RANK(N2,$N:$N,0)</calculatedColumnFormula>
    </tableColumn>
    <tableColumn id="16" xr3:uid="{D6D3DB35-82CB-43AC-9371-19EFCE99B512}" name="Total_Engagement" dataDxfId="49">
      <calculatedColumnFormula>F2+G2+H2</calculatedColumnFormula>
    </tableColumn>
    <tableColumn id="17" xr3:uid="{99D43822-4168-4CED-80BD-787351DBECA5}" name="Campaign_Name" dataDxfId="48">
      <calculatedColumnFormula>IF(AND(--$C2&gt;=--Campaign_Metadata_clean!$B$2,--$C2&lt;=--Campaign_Metadata_clean!$C$2),"SummerBeats",
IF(AND(--$C2&gt;=--Campaign_Metadata_clean!$B$3,--$C2&lt;=--Campaign_Metadata_clean!$C$3),"Wrapped2024",
IF(AND(--$C2&gt;=--Campaign_Metadata_clean!$B$4,--$C2&lt;=--Campaign_Metadata_clean!$C$4),"ChillVibes",
IF(AND(--$C2&gt;=--Campaign_Metadata_clean!$B$5,--$C2&lt;=--Campaign_Metadata_clean!$C$5),"IndieWave","No Campaign"))))</calculatedColumnFormula>
    </tableColumn>
    <tableColumn id="18" xr3:uid="{8218F81A-0AC3-40CD-AB31-EFC716E6829E}" name="Campaign_Period" dataDxfId="47">
      <calculatedColumnFormula>IF(AND(C2&gt;=DATE(2025,1,10), C2&lt;=DATE(2025,2,10)),
"During",
IF(C2&lt;DATE(2025,1,10),
"Before",
"Other"))</calculatedColumnFormula>
    </tableColumn>
    <tableColumn id="19" xr3:uid="{8488494A-987B-4E3E-AB8F-18D9000AAA40}" name="Impact_Period" dataDxfId="46">
      <calculatedColumnFormula>IF(OR(X2="",Y2=""),"",
IF(AND(C2&gt;=X2-30,C2&lt;X2),"Before",
IF(AND(C2&gt;=X2,C2&lt;=Y2),"During","Other")))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6B76A-D792-464A-9B82-9A0E598DA3E1}" name="Table3" displayName="Table3" ref="A1:J201" totalsRowShown="0" headerRowDxfId="45" dataDxfId="44">
  <autoFilter ref="A1:J201" xr:uid="{FA56B76A-D792-464A-9B82-9A0E598DA3E1}"/>
  <sortState xmlns:xlrd2="http://schemas.microsoft.com/office/spreadsheetml/2017/richdata2" ref="A2:I201">
    <sortCondition ref="I1:I201"/>
  </sortState>
  <tableColumns count="10">
    <tableColumn id="1" xr3:uid="{12A08129-DEC7-42AF-9A50-FD4CF86BB4C8}" name="Week_Start_Date" dataDxfId="43"/>
    <tableColumn id="2" xr3:uid="{469A4145-EF1A-4636-8F85-F4ADDE8F4507}" name="Platform" dataDxfId="42"/>
    <tableColumn id="3" xr3:uid="{2CA28FF0-35FB-4A97-829D-FF90EC051192}" name="New_Followers" dataDxfId="41"/>
    <tableColumn id="4" xr3:uid="{A42F602C-A1F1-4A21-80C8-60C12A89C0CC}" name="Unfollows" dataDxfId="40"/>
    <tableColumn id="5" xr3:uid="{2E26C004-6989-4FB5-911B-EBB27E018B76}" name="Total_Followers" dataDxfId="39"/>
    <tableColumn id="6" xr3:uid="{F3C2C6B2-4C9D-4649-B52E-0B8EE35798C1}" name="Engagement_Rate" dataDxfId="38"/>
    <tableColumn id="7" xr3:uid="{B6D94991-81EE-4912-94AA-7F3AD6524A04}" name="Ad_Spend" dataDxfId="37"/>
    <tableColumn id="8" xr3:uid="{B6FB1847-FC72-447E-984A-0293FFF0F7A5}" name="Net_Increase">
      <calculatedColumnFormula>C2-D2</calculatedColumnFormula>
    </tableColumn>
    <tableColumn id="9" xr3:uid="{0C5D727D-8022-44DB-B411-8808343227DD}" name="Week_Number" dataDxfId="36">
      <calculatedColumnFormula>YEAR(A2) &amp; "-W" &amp; TEXT(_xlfn.ISOWEEKNUM(A2),"00")</calculatedColumnFormula>
    </tableColumn>
    <tableColumn id="10" xr3:uid="{7BA29D9D-938E-40B8-84F2-F0191DCA7F49}" name="Column1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E2925-94EF-4526-A547-24C3DA97C645}" name="Table4" displayName="Table4" ref="F21:L25" totalsRowShown="0" headerRowDxfId="80">
  <autoFilter ref="F21:L25" xr:uid="{8F4E2925-94EF-4526-A547-24C3DA97C645}"/>
  <tableColumns count="7">
    <tableColumn id="1" xr3:uid="{FDC48839-C785-484B-9B23-C5B1C7C18A55}" name="Campaign" dataDxfId="79"/>
    <tableColumn id="2" xr3:uid="{360A1D9E-7BC6-4DB1-8C1A-E031484A755E}" name="Start Date" dataDxfId="78"/>
    <tableColumn id="3" xr3:uid="{94C16791-29FF-411E-AC61-0ED084662757}" name="End Date" dataDxfId="77"/>
    <tableColumn id="4" xr3:uid="{ACB559F1-7468-4A79-8639-793DDA9534A1}" name="Before Avg" dataDxfId="76" dataCellStyle="Percent">
      <calculatedColumnFormula>IFERROR(
AVERAGEIFS(Posts_clean!N:N,
Posts_clean!C:C, "&gt;=" &amp; G22-30,
Posts_clean!C:C, "&lt;" &amp; G22),
0)</calculatedColumnFormula>
    </tableColumn>
    <tableColumn id="5" xr3:uid="{83F7BFF3-3AB5-4C49-A808-A541D627AF39}" name="During Avg" dataDxfId="75">
      <calculatedColumnFormula>IFERROR(
AVERAGEIFS(Posts_clean!N:N,
Posts_clean!C:C, "&gt;=" &amp; G22,
Posts_clean!C:C, "&lt;=" &amp; H22),
0)</calculatedColumnFormula>
    </tableColumn>
    <tableColumn id="6" xr3:uid="{C5AE7ED8-2AF1-41BC-A7DE-4F511C2A7AE0}" name="Lift %" dataDxfId="74">
      <calculatedColumnFormula>IF(I22=0,0,(J22-I22)/I22)</calculatedColumnFormula>
    </tableColumn>
    <tableColumn id="7" xr3:uid="{05FFF403-3B37-4E03-B020-047B2B5E417C}" name="Column1" dataDxfId="73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45201C-A7A8-43A5-A94B-4F0423A193B7}" name="Table6" displayName="Table6" ref="C32:F37">
  <autoFilter ref="C32:F37" xr:uid="{F445201C-A7A8-43A5-A94B-4F0423A193B7}"/>
  <tableColumns count="4">
    <tableColumn id="1" xr3:uid="{AB1BE21B-BE7E-448B-A758-7C2CA51F3243}" name="Avg Engagement Rate" totalsRowLabel="Total" dataDxfId="17"/>
    <tableColumn id="2" xr3:uid="{6E9F518B-B587-4E51-89F7-858C01287227}" name="Total Budget"/>
    <tableColumn id="3" xr3:uid="{87408F20-E11D-41B2-B40A-853C4A65E4F3}" name="ROI" dataDxfId="18">
      <calculatedColumnFormula>B33/D33</calculatedColumnFormula>
    </tableColumn>
    <tableColumn id="4" xr3:uid="{D315A4A4-B760-48B8-93F8-D3085D5494B2}" name="Rank" totalsRowFunction="sum" dataDxfId="19">
      <calculatedColumnFormula>_xlfn.RANK.EQ(E33,$E$33:$E$36,0)</calculatedColumnFormula>
    </tableColumn>
  </tableColumns>
  <tableStyleInfo name="TableStyleLight9" showFirstColumn="0" showLastColumn="1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E5601A-DDEB-4A17-9653-8C75483F505C}" name="Table7" displayName="Table7" ref="A46:E50" totalsRowShown="0">
  <autoFilter ref="A46:E50" xr:uid="{50E5601A-DDEB-4A17-9653-8C75483F505C}"/>
  <tableColumns count="5">
    <tableColumn id="1" xr3:uid="{75B8E608-E44E-4CD7-BED9-A19B7A8844CA}" name="Campaign_Name" dataDxfId="16"/>
    <tableColumn id="2" xr3:uid="{27A68FDB-922F-477D-ADA1-9DCCC3023641}" name="Start_Date" dataDxfId="15"/>
    <tableColumn id="3" xr3:uid="{049365B3-1F04-420F-B932-9AAA392F6499}" name="End_Date" dataDxfId="14"/>
    <tableColumn id="4" xr3:uid="{E0E1CE66-A2C3-45D2-BA07-AE8362A757A6}" name="Total New Followers"/>
    <tableColumn id="5" xr3:uid="{868A6864-8957-45A3-B107-0DD3AB4B3416}" name="Rank">
      <calculatedColumnFormula>_xlfn.RANK.EQ(D47,$D$47:$D$50,0)</calculatedColumnFormula>
    </tableColumn>
  </tableColumns>
  <tableStyleInfo name="TableStyleDark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191D47-CBD8-447D-A36C-419DB65B84F0}" name="Table9" displayName="Table9" ref="H1:J68" totalsRowShown="0" headerRowDxfId="5">
  <autoFilter ref="H1:J68" xr:uid="{9E191D47-CBD8-447D-A36C-419DB65B84F0}"/>
  <tableColumns count="3">
    <tableColumn id="1" xr3:uid="{9A56FE51-3121-420D-95E8-BB64B1244845}" name="Weeks" dataDxfId="13"/>
    <tableColumn id="2" xr3:uid="{990AD03D-BFDE-48FE-95D8-5ABABEFA798B}" name="Sum of Net increase" dataDxfId="12"/>
    <tableColumn id="3" xr3:uid="{4AE1CF37-5FEA-4C16-8D66-A0B3B1AE82EA}" name="3-week moving average"/>
  </tableColumns>
  <tableStyleInfo name="Table Style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E77498-0732-4A0D-A866-D947865810D4}" name="Table10" displayName="Table10" ref="N19:P22" totalsRowShown="0" headerRowDxfId="4">
  <autoFilter ref="N19:P22" xr:uid="{01E77498-0732-4A0D-A866-D947865810D4}"/>
  <tableColumns count="3">
    <tableColumn id="1" xr3:uid="{212D1FB0-07D1-4BA5-9E97-E1A8E5191E82}" name="Weeks" dataDxfId="3"/>
    <tableColumn id="2" xr3:uid="{71B09DF4-AA11-488F-BCAC-A0C8009C85C4}" name="Higest Net Increase" dataDxfId="2"/>
    <tableColumn id="3" xr3:uid="{A833C14E-9205-422D-8C01-66B57124ED4A}" name="Rank" dataDxfId="1">
      <calculatedColumnFormula>_xlfn.RANK.EQ(O20,$O$20:$O$22,0)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3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D52E-BE90-477D-8E08-8E53598C5AC6}">
  <dimension ref="A1:O484"/>
  <sheetViews>
    <sheetView topLeftCell="E1" workbookViewId="0">
      <selection activeCell="O8" sqref="O8"/>
    </sheetView>
  </sheetViews>
  <sheetFormatPr defaultRowHeight="14.4"/>
  <cols>
    <col min="1" max="1" width="9.109375" bestFit="1" customWidth="1"/>
    <col min="2" max="2" width="10.5546875" bestFit="1" customWidth="1"/>
    <col min="3" max="3" width="15.44140625" bestFit="1" customWidth="1"/>
    <col min="4" max="4" width="14.5546875" bestFit="1" customWidth="1"/>
    <col min="5" max="5" width="34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8.6640625" bestFit="1" customWidth="1"/>
    <col min="13" max="13" width="7.44140625" bestFit="1" customWidth="1"/>
    <col min="14" max="14" width="17.21875" bestFit="1" customWidth="1"/>
    <col min="15" max="15" width="19.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345</v>
      </c>
      <c r="M1" t="s">
        <v>413</v>
      </c>
      <c r="N1" t="s">
        <v>426</v>
      </c>
      <c r="O1" s="36" t="s">
        <v>456</v>
      </c>
    </row>
    <row r="2" spans="1:15">
      <c r="A2" t="s">
        <v>13</v>
      </c>
      <c r="B2" t="s">
        <v>14</v>
      </c>
      <c r="C2" s="27">
        <v>45781</v>
      </c>
      <c r="D2" t="s">
        <v>15</v>
      </c>
      <c r="E2" t="s">
        <v>16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>
        <v>0.13200509890939993</v>
      </c>
      <c r="M2">
        <v>53</v>
      </c>
      <c r="N2" t="s">
        <v>45</v>
      </c>
      <c r="O2">
        <f t="shared" ref="O2:O65" si="0" xml:space="preserve"> F2 + G2+H2</f>
        <v>2796</v>
      </c>
    </row>
    <row r="3" spans="1:15">
      <c r="A3" t="s">
        <v>13</v>
      </c>
      <c r="B3" t="s">
        <v>14</v>
      </c>
      <c r="C3" s="27">
        <v>45781</v>
      </c>
      <c r="D3" t="s">
        <v>15</v>
      </c>
      <c r="E3" t="s">
        <v>16</v>
      </c>
      <c r="F3">
        <v>2414</v>
      </c>
      <c r="G3">
        <v>245</v>
      </c>
      <c r="H3">
        <v>137</v>
      </c>
      <c r="I3">
        <v>21181</v>
      </c>
      <c r="J3">
        <v>45292</v>
      </c>
      <c r="K3">
        <v>133</v>
      </c>
      <c r="L3">
        <v>0.13200509890939993</v>
      </c>
      <c r="M3">
        <v>53</v>
      </c>
      <c r="N3" t="s">
        <v>42</v>
      </c>
      <c r="O3">
        <f t="shared" si="0"/>
        <v>2796</v>
      </c>
    </row>
    <row r="4" spans="1:15">
      <c r="A4" t="s">
        <v>19</v>
      </c>
      <c r="B4" t="s">
        <v>14</v>
      </c>
      <c r="C4" s="27">
        <v>45689</v>
      </c>
      <c r="D4" t="s">
        <v>15</v>
      </c>
      <c r="E4" t="s">
        <v>20</v>
      </c>
      <c r="F4">
        <v>1934</v>
      </c>
      <c r="G4">
        <v>210</v>
      </c>
      <c r="H4">
        <v>393</v>
      </c>
      <c r="I4">
        <v>29129</v>
      </c>
      <c r="J4">
        <v>73287</v>
      </c>
      <c r="K4">
        <v>273</v>
      </c>
      <c r="L4">
        <v>8.7095334546328396E-2</v>
      </c>
      <c r="M4">
        <v>145</v>
      </c>
      <c r="N4" t="s">
        <v>21</v>
      </c>
      <c r="O4">
        <f t="shared" si="0"/>
        <v>2537</v>
      </c>
    </row>
    <row r="5" spans="1:15">
      <c r="A5" t="s">
        <v>23</v>
      </c>
      <c r="B5" t="s">
        <v>24</v>
      </c>
      <c r="C5" s="27">
        <v>45629</v>
      </c>
      <c r="D5" t="s">
        <v>25</v>
      </c>
      <c r="E5" t="s">
        <v>26</v>
      </c>
      <c r="F5">
        <v>3092</v>
      </c>
      <c r="G5">
        <v>177</v>
      </c>
      <c r="H5">
        <v>81</v>
      </c>
      <c r="I5">
        <v>47533</v>
      </c>
      <c r="J5">
        <v>29220</v>
      </c>
      <c r="K5">
        <v>121</v>
      </c>
      <c r="L5">
        <v>7.0477352576105018E-2</v>
      </c>
      <c r="M5">
        <v>202</v>
      </c>
      <c r="N5" t="s">
        <v>377</v>
      </c>
      <c r="O5">
        <f t="shared" si="0"/>
        <v>3350</v>
      </c>
    </row>
    <row r="6" spans="1:15">
      <c r="A6" t="s">
        <v>23</v>
      </c>
      <c r="B6" t="s">
        <v>24</v>
      </c>
      <c r="C6" s="27">
        <v>45629</v>
      </c>
      <c r="D6" t="s">
        <v>25</v>
      </c>
      <c r="E6" t="s">
        <v>26</v>
      </c>
      <c r="F6">
        <v>3092</v>
      </c>
      <c r="G6">
        <v>177</v>
      </c>
      <c r="H6">
        <v>81</v>
      </c>
      <c r="I6">
        <v>47533</v>
      </c>
      <c r="J6">
        <v>29220</v>
      </c>
      <c r="K6">
        <v>121</v>
      </c>
      <c r="L6">
        <v>7.0477352576105018E-2</v>
      </c>
      <c r="M6">
        <v>202</v>
      </c>
      <c r="N6" t="s">
        <v>42</v>
      </c>
      <c r="O6">
        <f t="shared" si="0"/>
        <v>3350</v>
      </c>
    </row>
    <row r="7" spans="1:15">
      <c r="A7" t="s">
        <v>28</v>
      </c>
      <c r="B7" t="s">
        <v>14</v>
      </c>
      <c r="C7" s="27">
        <v>45629</v>
      </c>
      <c r="D7" t="s">
        <v>15</v>
      </c>
      <c r="E7" t="s">
        <v>376</v>
      </c>
      <c r="F7">
        <v>3173</v>
      </c>
      <c r="G7">
        <v>229</v>
      </c>
      <c r="H7">
        <v>197</v>
      </c>
      <c r="I7">
        <v>29604</v>
      </c>
      <c r="J7">
        <v>21809</v>
      </c>
      <c r="K7">
        <v>272</v>
      </c>
      <c r="L7">
        <v>0.1215714092690177</v>
      </c>
      <c r="M7">
        <v>64</v>
      </c>
      <c r="N7" t="s">
        <v>45</v>
      </c>
      <c r="O7">
        <f t="shared" si="0"/>
        <v>3599</v>
      </c>
    </row>
    <row r="8" spans="1:15">
      <c r="A8" t="s">
        <v>28</v>
      </c>
      <c r="B8" t="s">
        <v>14</v>
      </c>
      <c r="C8" s="27">
        <v>45629</v>
      </c>
      <c r="D8" t="s">
        <v>15</v>
      </c>
      <c r="E8" t="s">
        <v>376</v>
      </c>
      <c r="F8">
        <v>3173</v>
      </c>
      <c r="G8">
        <v>229</v>
      </c>
      <c r="H8">
        <v>197</v>
      </c>
      <c r="I8">
        <v>29604</v>
      </c>
      <c r="J8">
        <v>21809</v>
      </c>
      <c r="K8">
        <v>272</v>
      </c>
      <c r="L8">
        <v>0.1215714092690177</v>
      </c>
      <c r="M8">
        <v>64</v>
      </c>
      <c r="N8" t="s">
        <v>42</v>
      </c>
      <c r="O8">
        <f t="shared" si="0"/>
        <v>3599</v>
      </c>
    </row>
    <row r="9" spans="1:15">
      <c r="A9" t="s">
        <v>30</v>
      </c>
      <c r="B9" t="s">
        <v>31</v>
      </c>
      <c r="C9" s="27">
        <v>45388</v>
      </c>
      <c r="D9" t="s">
        <v>15</v>
      </c>
      <c r="E9" t="s">
        <v>375</v>
      </c>
      <c r="F9">
        <v>2748</v>
      </c>
      <c r="G9">
        <v>145</v>
      </c>
      <c r="H9">
        <v>315</v>
      </c>
      <c r="I9">
        <v>24401</v>
      </c>
      <c r="J9">
        <v>61182</v>
      </c>
      <c r="K9">
        <v>200</v>
      </c>
      <c r="L9">
        <v>0.1314700217204213</v>
      </c>
      <c r="M9">
        <v>54</v>
      </c>
      <c r="N9" t="s">
        <v>21</v>
      </c>
      <c r="O9">
        <f t="shared" si="0"/>
        <v>3208</v>
      </c>
    </row>
    <row r="10" spans="1:15">
      <c r="A10" t="s">
        <v>30</v>
      </c>
      <c r="B10" t="s">
        <v>31</v>
      </c>
      <c r="C10" s="27">
        <v>45388</v>
      </c>
      <c r="D10" t="s">
        <v>15</v>
      </c>
      <c r="E10" t="s">
        <v>375</v>
      </c>
      <c r="F10">
        <v>2748</v>
      </c>
      <c r="G10">
        <v>145</v>
      </c>
      <c r="H10">
        <v>315</v>
      </c>
      <c r="I10">
        <v>24401</v>
      </c>
      <c r="J10">
        <v>61182</v>
      </c>
      <c r="K10">
        <v>200</v>
      </c>
      <c r="L10">
        <v>0.1314700217204213</v>
      </c>
      <c r="M10">
        <v>54</v>
      </c>
      <c r="N10" t="s">
        <v>378</v>
      </c>
      <c r="O10">
        <f t="shared" si="0"/>
        <v>3208</v>
      </c>
    </row>
    <row r="11" spans="1:15">
      <c r="A11" t="s">
        <v>34</v>
      </c>
      <c r="B11" t="s">
        <v>31</v>
      </c>
      <c r="C11" s="27">
        <v>45456</v>
      </c>
      <c r="D11" t="s">
        <v>15</v>
      </c>
      <c r="E11" t="s">
        <v>373</v>
      </c>
      <c r="F11">
        <v>3882</v>
      </c>
      <c r="G11">
        <v>239</v>
      </c>
      <c r="H11">
        <v>275</v>
      </c>
      <c r="I11">
        <v>58748</v>
      </c>
      <c r="J11">
        <v>44646</v>
      </c>
      <c r="K11">
        <v>149</v>
      </c>
      <c r="L11">
        <v>7.4828079253761837E-2</v>
      </c>
      <c r="M11">
        <v>190</v>
      </c>
      <c r="N11" t="s">
        <v>21</v>
      </c>
      <c r="O11">
        <f t="shared" si="0"/>
        <v>4396</v>
      </c>
    </row>
    <row r="12" spans="1:15">
      <c r="A12" t="s">
        <v>34</v>
      </c>
      <c r="B12" t="s">
        <v>31</v>
      </c>
      <c r="C12" s="27">
        <v>45456</v>
      </c>
      <c r="D12" t="s">
        <v>15</v>
      </c>
      <c r="E12" t="s">
        <v>373</v>
      </c>
      <c r="F12">
        <v>3882</v>
      </c>
      <c r="G12">
        <v>239</v>
      </c>
      <c r="H12">
        <v>275</v>
      </c>
      <c r="I12">
        <v>58748</v>
      </c>
      <c r="J12">
        <v>44646</v>
      </c>
      <c r="K12">
        <v>149</v>
      </c>
      <c r="L12">
        <v>7.4828079253761837E-2</v>
      </c>
      <c r="M12">
        <v>190</v>
      </c>
      <c r="N12" t="s">
        <v>378</v>
      </c>
      <c r="O12">
        <f t="shared" si="0"/>
        <v>4396</v>
      </c>
    </row>
    <row r="13" spans="1:15">
      <c r="A13" t="s">
        <v>36</v>
      </c>
      <c r="B13" t="s">
        <v>24</v>
      </c>
      <c r="C13" s="27">
        <v>45645</v>
      </c>
      <c r="D13" t="s">
        <v>25</v>
      </c>
      <c r="E13" t="s">
        <v>37</v>
      </c>
      <c r="F13">
        <v>4674</v>
      </c>
      <c r="G13">
        <v>409</v>
      </c>
      <c r="H13">
        <v>327</v>
      </c>
      <c r="I13">
        <v>20756</v>
      </c>
      <c r="J13">
        <v>63599</v>
      </c>
      <c r="K13">
        <v>212</v>
      </c>
      <c r="L13">
        <v>0.26064752360763155</v>
      </c>
      <c r="M13">
        <v>1</v>
      </c>
      <c r="N13" t="s">
        <v>45</v>
      </c>
      <c r="O13">
        <f t="shared" si="0"/>
        <v>5410</v>
      </c>
    </row>
    <row r="14" spans="1:15">
      <c r="A14" t="s">
        <v>36</v>
      </c>
      <c r="B14" t="s">
        <v>24</v>
      </c>
      <c r="C14" s="27">
        <v>45645</v>
      </c>
      <c r="D14" t="s">
        <v>25</v>
      </c>
      <c r="E14" t="s">
        <v>37</v>
      </c>
      <c r="F14">
        <v>4674</v>
      </c>
      <c r="G14">
        <v>409</v>
      </c>
      <c r="H14">
        <v>327</v>
      </c>
      <c r="I14">
        <v>20756</v>
      </c>
      <c r="J14">
        <v>63599</v>
      </c>
      <c r="K14">
        <v>212</v>
      </c>
      <c r="L14">
        <v>0.26064752360763155</v>
      </c>
      <c r="M14">
        <v>1</v>
      </c>
      <c r="N14" t="s">
        <v>42</v>
      </c>
      <c r="O14">
        <f t="shared" si="0"/>
        <v>5410</v>
      </c>
    </row>
    <row r="15" spans="1:15">
      <c r="A15" t="s">
        <v>38</v>
      </c>
      <c r="B15" t="s">
        <v>24</v>
      </c>
      <c r="C15" s="27">
        <v>45421</v>
      </c>
      <c r="D15" t="s">
        <v>25</v>
      </c>
      <c r="E15" t="s">
        <v>376</v>
      </c>
      <c r="F15">
        <v>1428</v>
      </c>
      <c r="G15">
        <v>347</v>
      </c>
      <c r="H15">
        <v>67</v>
      </c>
      <c r="I15">
        <v>21148</v>
      </c>
      <c r="J15">
        <v>19712</v>
      </c>
      <c r="K15">
        <v>120</v>
      </c>
      <c r="L15">
        <v>8.7100435029317191E-2</v>
      </c>
      <c r="M15">
        <v>144</v>
      </c>
      <c r="N15" t="s">
        <v>21</v>
      </c>
      <c r="O15">
        <f t="shared" si="0"/>
        <v>1842</v>
      </c>
    </row>
    <row r="16" spans="1:15">
      <c r="A16" t="s">
        <v>38</v>
      </c>
      <c r="B16" t="s">
        <v>24</v>
      </c>
      <c r="C16" s="27">
        <v>45421</v>
      </c>
      <c r="D16" t="s">
        <v>25</v>
      </c>
      <c r="E16" t="s">
        <v>376</v>
      </c>
      <c r="F16">
        <v>1428</v>
      </c>
      <c r="G16">
        <v>347</v>
      </c>
      <c r="H16">
        <v>67</v>
      </c>
      <c r="I16">
        <v>21148</v>
      </c>
      <c r="J16">
        <v>19712</v>
      </c>
      <c r="K16">
        <v>120</v>
      </c>
      <c r="L16">
        <v>8.7100435029317191E-2</v>
      </c>
      <c r="M16">
        <v>144</v>
      </c>
      <c r="N16" t="s">
        <v>377</v>
      </c>
      <c r="O16">
        <f t="shared" si="0"/>
        <v>1842</v>
      </c>
    </row>
    <row r="17" spans="1:15">
      <c r="A17" t="s">
        <v>40</v>
      </c>
      <c r="B17" t="s">
        <v>24</v>
      </c>
      <c r="C17" s="27">
        <v>45823</v>
      </c>
      <c r="D17" t="s">
        <v>15</v>
      </c>
      <c r="E17" t="s">
        <v>41</v>
      </c>
      <c r="F17">
        <v>4432</v>
      </c>
      <c r="G17">
        <v>223</v>
      </c>
      <c r="H17">
        <v>299</v>
      </c>
      <c r="I17">
        <v>59016</v>
      </c>
      <c r="J17">
        <v>21742</v>
      </c>
      <c r="K17">
        <v>171</v>
      </c>
      <c r="L17">
        <v>8.3943337400027115E-2</v>
      </c>
      <c r="M17">
        <v>162</v>
      </c>
      <c r="N17" t="s">
        <v>42</v>
      </c>
      <c r="O17">
        <f t="shared" si="0"/>
        <v>4954</v>
      </c>
    </row>
    <row r="18" spans="1:15">
      <c r="A18" t="s">
        <v>43</v>
      </c>
      <c r="B18" t="s">
        <v>24</v>
      </c>
      <c r="C18" s="27">
        <v>45630</v>
      </c>
      <c r="D18" t="s">
        <v>15</v>
      </c>
      <c r="E18" t="s">
        <v>376</v>
      </c>
      <c r="F18">
        <v>2357</v>
      </c>
      <c r="G18">
        <v>274</v>
      </c>
      <c r="H18">
        <v>172</v>
      </c>
      <c r="I18">
        <v>21566</v>
      </c>
      <c r="J18">
        <v>66829</v>
      </c>
      <c r="K18">
        <v>284</v>
      </c>
      <c r="L18">
        <v>0.12997310581470833</v>
      </c>
      <c r="M18">
        <v>56</v>
      </c>
      <c r="N18" t="s">
        <v>42</v>
      </c>
      <c r="O18">
        <f t="shared" si="0"/>
        <v>2803</v>
      </c>
    </row>
    <row r="19" spans="1:15">
      <c r="A19" t="s">
        <v>44</v>
      </c>
      <c r="B19" t="s">
        <v>24</v>
      </c>
      <c r="C19" s="27">
        <v>45357</v>
      </c>
      <c r="D19" t="s">
        <v>15</v>
      </c>
      <c r="E19" t="s">
        <v>16</v>
      </c>
      <c r="F19">
        <v>1971</v>
      </c>
      <c r="G19">
        <v>370</v>
      </c>
      <c r="H19">
        <v>306</v>
      </c>
      <c r="I19">
        <v>31316</v>
      </c>
      <c r="J19">
        <v>27897</v>
      </c>
      <c r="K19">
        <v>88</v>
      </c>
      <c r="L19">
        <v>8.4525482181632389E-2</v>
      </c>
      <c r="M19">
        <v>158</v>
      </c>
      <c r="N19" t="s">
        <v>45</v>
      </c>
      <c r="O19">
        <f t="shared" si="0"/>
        <v>2647</v>
      </c>
    </row>
    <row r="20" spans="1:15">
      <c r="A20" t="s">
        <v>46</v>
      </c>
      <c r="B20" t="s">
        <v>14</v>
      </c>
      <c r="C20" s="27">
        <v>45426</v>
      </c>
      <c r="D20" t="s">
        <v>15</v>
      </c>
      <c r="E20" t="s">
        <v>16</v>
      </c>
      <c r="F20">
        <v>1485</v>
      </c>
      <c r="G20">
        <v>353</v>
      </c>
      <c r="H20">
        <v>244</v>
      </c>
      <c r="I20">
        <v>38419</v>
      </c>
      <c r="J20">
        <v>38556</v>
      </c>
      <c r="K20">
        <v>86</v>
      </c>
      <c r="L20">
        <v>5.4191936281527367E-2</v>
      </c>
      <c r="M20">
        <v>241</v>
      </c>
      <c r="N20" t="s">
        <v>45</v>
      </c>
      <c r="O20">
        <f t="shared" si="0"/>
        <v>2082</v>
      </c>
    </row>
    <row r="21" spans="1:15">
      <c r="A21" t="s">
        <v>46</v>
      </c>
      <c r="B21" t="s">
        <v>14</v>
      </c>
      <c r="C21" s="27">
        <v>45426</v>
      </c>
      <c r="D21" t="s">
        <v>15</v>
      </c>
      <c r="E21" t="s">
        <v>16</v>
      </c>
      <c r="F21">
        <v>1485</v>
      </c>
      <c r="G21">
        <v>353</v>
      </c>
      <c r="H21">
        <v>244</v>
      </c>
      <c r="I21">
        <v>38419</v>
      </c>
      <c r="J21">
        <v>38556</v>
      </c>
      <c r="K21">
        <v>86</v>
      </c>
      <c r="L21">
        <v>5.4191936281527367E-2</v>
      </c>
      <c r="M21">
        <v>241</v>
      </c>
      <c r="N21" t="s">
        <v>42</v>
      </c>
      <c r="O21">
        <f t="shared" si="0"/>
        <v>2082</v>
      </c>
    </row>
    <row r="22" spans="1:15">
      <c r="A22" t="s">
        <v>47</v>
      </c>
      <c r="B22" t="s">
        <v>24</v>
      </c>
      <c r="C22" s="27">
        <v>45826</v>
      </c>
      <c r="D22" t="s">
        <v>25</v>
      </c>
      <c r="E22" t="s">
        <v>16</v>
      </c>
      <c r="F22">
        <v>3956</v>
      </c>
      <c r="G22">
        <v>319</v>
      </c>
      <c r="H22">
        <v>61</v>
      </c>
      <c r="I22">
        <v>58162</v>
      </c>
      <c r="J22">
        <v>28720</v>
      </c>
      <c r="K22">
        <v>213</v>
      </c>
      <c r="L22">
        <v>7.4550393727863554E-2</v>
      </c>
      <c r="M22">
        <v>191</v>
      </c>
      <c r="N22" t="s">
        <v>377</v>
      </c>
      <c r="O22">
        <f t="shared" si="0"/>
        <v>4336</v>
      </c>
    </row>
    <row r="23" spans="1:15">
      <c r="A23" t="s">
        <v>47</v>
      </c>
      <c r="B23" t="s">
        <v>24</v>
      </c>
      <c r="C23" s="27">
        <v>45826</v>
      </c>
      <c r="D23" t="s">
        <v>25</v>
      </c>
      <c r="E23" t="s">
        <v>16</v>
      </c>
      <c r="F23">
        <v>3956</v>
      </c>
      <c r="G23">
        <v>319</v>
      </c>
      <c r="H23">
        <v>61</v>
      </c>
      <c r="I23">
        <v>58162</v>
      </c>
      <c r="J23">
        <v>28720</v>
      </c>
      <c r="K23">
        <v>213</v>
      </c>
      <c r="L23">
        <v>7.4550393727863554E-2</v>
      </c>
      <c r="M23">
        <v>191</v>
      </c>
      <c r="N23" t="s">
        <v>42</v>
      </c>
      <c r="O23">
        <f t="shared" si="0"/>
        <v>4336</v>
      </c>
    </row>
    <row r="24" spans="1:15">
      <c r="A24" t="s">
        <v>48</v>
      </c>
      <c r="B24" t="s">
        <v>24</v>
      </c>
      <c r="C24" s="27">
        <v>45573</v>
      </c>
      <c r="D24" t="s">
        <v>15</v>
      </c>
      <c r="E24" t="s">
        <v>374</v>
      </c>
      <c r="F24">
        <v>2460</v>
      </c>
      <c r="G24">
        <v>409</v>
      </c>
      <c r="H24">
        <v>253</v>
      </c>
      <c r="I24">
        <v>36702</v>
      </c>
      <c r="J24">
        <v>46122</v>
      </c>
      <c r="K24">
        <v>264</v>
      </c>
      <c r="L24">
        <v>8.5063484278785892E-2</v>
      </c>
      <c r="M24">
        <v>155</v>
      </c>
      <c r="N24" t="s">
        <v>42</v>
      </c>
      <c r="O24">
        <f t="shared" si="0"/>
        <v>3122</v>
      </c>
    </row>
    <row r="25" spans="1:15">
      <c r="A25" t="s">
        <v>50</v>
      </c>
      <c r="B25" t="s">
        <v>24</v>
      </c>
      <c r="C25" s="27">
        <v>45418</v>
      </c>
      <c r="D25" t="s">
        <v>15</v>
      </c>
      <c r="E25" t="s">
        <v>51</v>
      </c>
      <c r="F25">
        <v>3476</v>
      </c>
      <c r="G25">
        <v>355</v>
      </c>
      <c r="H25">
        <v>396</v>
      </c>
      <c r="I25">
        <v>37492</v>
      </c>
      <c r="J25">
        <v>27285</v>
      </c>
      <c r="K25">
        <v>179</v>
      </c>
      <c r="L25">
        <v>0.11274405206444041</v>
      </c>
      <c r="M25">
        <v>75</v>
      </c>
      <c r="N25" t="s">
        <v>42</v>
      </c>
      <c r="O25">
        <f t="shared" si="0"/>
        <v>4227</v>
      </c>
    </row>
    <row r="26" spans="1:15">
      <c r="A26" t="s">
        <v>52</v>
      </c>
      <c r="B26" t="s">
        <v>24</v>
      </c>
      <c r="C26" s="27">
        <v>45655</v>
      </c>
      <c r="D26" t="s">
        <v>25</v>
      </c>
      <c r="E26" t="s">
        <v>26</v>
      </c>
      <c r="F26">
        <v>4049</v>
      </c>
      <c r="G26">
        <v>377</v>
      </c>
      <c r="H26">
        <v>94</v>
      </c>
      <c r="I26">
        <v>48182</v>
      </c>
      <c r="J26">
        <v>42875</v>
      </c>
      <c r="K26">
        <v>172</v>
      </c>
      <c r="L26">
        <v>9.3810966751068869E-2</v>
      </c>
      <c r="M26">
        <v>127</v>
      </c>
      <c r="N26" t="s">
        <v>377</v>
      </c>
      <c r="O26">
        <f t="shared" si="0"/>
        <v>4520</v>
      </c>
    </row>
    <row r="27" spans="1:15">
      <c r="A27" t="s">
        <v>52</v>
      </c>
      <c r="B27" t="s">
        <v>24</v>
      </c>
      <c r="C27" s="27">
        <v>45655</v>
      </c>
      <c r="D27" t="s">
        <v>25</v>
      </c>
      <c r="E27" t="s">
        <v>26</v>
      </c>
      <c r="F27">
        <v>4049</v>
      </c>
      <c r="G27">
        <v>377</v>
      </c>
      <c r="H27">
        <v>94</v>
      </c>
      <c r="I27">
        <v>48182</v>
      </c>
      <c r="J27">
        <v>42875</v>
      </c>
      <c r="K27">
        <v>172</v>
      </c>
      <c r="L27">
        <v>9.3810966751068869E-2</v>
      </c>
      <c r="M27">
        <v>127</v>
      </c>
      <c r="N27" t="s">
        <v>42</v>
      </c>
      <c r="O27">
        <f t="shared" si="0"/>
        <v>4520</v>
      </c>
    </row>
    <row r="28" spans="1:15">
      <c r="A28" t="s">
        <v>53</v>
      </c>
      <c r="B28" t="s">
        <v>24</v>
      </c>
      <c r="C28" s="27">
        <v>45453</v>
      </c>
      <c r="D28" t="s">
        <v>15</v>
      </c>
      <c r="E28" t="s">
        <v>373</v>
      </c>
      <c r="F28">
        <v>1514</v>
      </c>
      <c r="G28">
        <v>164</v>
      </c>
      <c r="H28">
        <v>275</v>
      </c>
      <c r="I28">
        <v>41364</v>
      </c>
      <c r="J28">
        <v>44389</v>
      </c>
      <c r="K28">
        <v>83</v>
      </c>
      <c r="L28">
        <v>4.7214969538729328E-2</v>
      </c>
      <c r="M28">
        <v>261</v>
      </c>
      <c r="N28" t="s">
        <v>42</v>
      </c>
      <c r="O28">
        <f t="shared" si="0"/>
        <v>1953</v>
      </c>
    </row>
    <row r="29" spans="1:15">
      <c r="A29" t="s">
        <v>54</v>
      </c>
      <c r="B29" t="s">
        <v>14</v>
      </c>
      <c r="C29" s="27">
        <v>45325</v>
      </c>
      <c r="D29" t="s">
        <v>25</v>
      </c>
      <c r="E29" t="s">
        <v>375</v>
      </c>
      <c r="F29">
        <v>4281</v>
      </c>
      <c r="G29">
        <v>101</v>
      </c>
      <c r="H29">
        <v>163</v>
      </c>
      <c r="I29">
        <v>32278</v>
      </c>
      <c r="J29">
        <v>53382</v>
      </c>
      <c r="K29">
        <v>235</v>
      </c>
      <c r="L29">
        <v>0.1408079806679472</v>
      </c>
      <c r="M29">
        <v>46</v>
      </c>
      <c r="N29" t="s">
        <v>42</v>
      </c>
      <c r="O29">
        <f t="shared" si="0"/>
        <v>4545</v>
      </c>
    </row>
    <row r="30" spans="1:15">
      <c r="A30" t="s">
        <v>56</v>
      </c>
      <c r="B30" t="s">
        <v>31</v>
      </c>
      <c r="C30" s="27">
        <v>45458</v>
      </c>
      <c r="D30" t="s">
        <v>57</v>
      </c>
      <c r="E30" t="s">
        <v>37</v>
      </c>
      <c r="F30">
        <v>1751</v>
      </c>
      <c r="G30">
        <v>143</v>
      </c>
      <c r="H30">
        <v>151</v>
      </c>
      <c r="I30">
        <v>31826</v>
      </c>
      <c r="J30">
        <v>47729</v>
      </c>
      <c r="K30">
        <v>95</v>
      </c>
      <c r="L30">
        <v>6.4255640042732362E-2</v>
      </c>
      <c r="M30">
        <v>213</v>
      </c>
      <c r="N30" t="s">
        <v>21</v>
      </c>
      <c r="O30">
        <f t="shared" si="0"/>
        <v>2045</v>
      </c>
    </row>
    <row r="31" spans="1:15">
      <c r="A31" t="s">
        <v>56</v>
      </c>
      <c r="B31" t="s">
        <v>31</v>
      </c>
      <c r="C31" s="27">
        <v>45458</v>
      </c>
      <c r="D31" t="s">
        <v>57</v>
      </c>
      <c r="E31" t="s">
        <v>37</v>
      </c>
      <c r="F31">
        <v>1751</v>
      </c>
      <c r="G31">
        <v>143</v>
      </c>
      <c r="H31">
        <v>151</v>
      </c>
      <c r="I31">
        <v>31826</v>
      </c>
      <c r="J31">
        <v>47729</v>
      </c>
      <c r="K31">
        <v>95</v>
      </c>
      <c r="L31">
        <v>6.4255640042732362E-2</v>
      </c>
      <c r="M31">
        <v>213</v>
      </c>
      <c r="N31" t="s">
        <v>45</v>
      </c>
      <c r="O31">
        <f t="shared" si="0"/>
        <v>2045</v>
      </c>
    </row>
    <row r="32" spans="1:15">
      <c r="A32" t="s">
        <v>60</v>
      </c>
      <c r="B32" t="s">
        <v>14</v>
      </c>
      <c r="C32" s="27">
        <v>45478</v>
      </c>
      <c r="D32" t="s">
        <v>15</v>
      </c>
      <c r="E32" t="s">
        <v>51</v>
      </c>
      <c r="F32">
        <v>3753</v>
      </c>
      <c r="G32">
        <v>411</v>
      </c>
      <c r="H32">
        <v>308</v>
      </c>
      <c r="I32">
        <v>29138</v>
      </c>
      <c r="J32">
        <v>27678</v>
      </c>
      <c r="K32">
        <v>90</v>
      </c>
      <c r="L32">
        <v>0.15347655981879332</v>
      </c>
      <c r="M32">
        <v>35</v>
      </c>
      <c r="N32" t="s">
        <v>21</v>
      </c>
      <c r="O32">
        <f t="shared" si="0"/>
        <v>4472</v>
      </c>
    </row>
    <row r="33" spans="1:15">
      <c r="A33" t="s">
        <v>61</v>
      </c>
      <c r="B33" t="s">
        <v>14</v>
      </c>
      <c r="C33" s="27">
        <v>45603</v>
      </c>
      <c r="D33" t="s">
        <v>25</v>
      </c>
      <c r="E33" t="s">
        <v>376</v>
      </c>
      <c r="F33">
        <v>1678</v>
      </c>
      <c r="G33">
        <v>423</v>
      </c>
      <c r="H33">
        <v>323</v>
      </c>
      <c r="I33">
        <v>55668</v>
      </c>
      <c r="J33">
        <v>37945</v>
      </c>
      <c r="K33">
        <v>230</v>
      </c>
      <c r="L33">
        <v>4.3543867212761371E-2</v>
      </c>
      <c r="M33">
        <v>271</v>
      </c>
      <c r="N33" t="s">
        <v>42</v>
      </c>
      <c r="O33">
        <f t="shared" si="0"/>
        <v>2424</v>
      </c>
    </row>
    <row r="34" spans="1:15">
      <c r="A34" t="s">
        <v>62</v>
      </c>
      <c r="B34" t="s">
        <v>14</v>
      </c>
      <c r="C34" s="27">
        <v>45823</v>
      </c>
      <c r="D34" t="s">
        <v>15</v>
      </c>
      <c r="E34" t="s">
        <v>373</v>
      </c>
      <c r="F34">
        <v>4896</v>
      </c>
      <c r="G34">
        <v>466</v>
      </c>
      <c r="H34">
        <v>233</v>
      </c>
      <c r="I34">
        <v>28621</v>
      </c>
      <c r="J34">
        <v>34270</v>
      </c>
      <c r="K34">
        <v>84</v>
      </c>
      <c r="L34">
        <v>0.19548583208133888</v>
      </c>
      <c r="M34">
        <v>6</v>
      </c>
      <c r="N34" t="s">
        <v>45</v>
      </c>
      <c r="O34">
        <f t="shared" si="0"/>
        <v>5595</v>
      </c>
    </row>
    <row r="35" spans="1:15">
      <c r="A35" t="s">
        <v>62</v>
      </c>
      <c r="B35" t="s">
        <v>14</v>
      </c>
      <c r="C35" s="27">
        <v>45823</v>
      </c>
      <c r="D35" t="s">
        <v>15</v>
      </c>
      <c r="E35" t="s">
        <v>373</v>
      </c>
      <c r="F35">
        <v>4896</v>
      </c>
      <c r="G35">
        <v>466</v>
      </c>
      <c r="H35">
        <v>233</v>
      </c>
      <c r="I35">
        <v>28621</v>
      </c>
      <c r="J35">
        <v>34270</v>
      </c>
      <c r="K35">
        <v>84</v>
      </c>
      <c r="L35">
        <v>0.19548583208133888</v>
      </c>
      <c r="M35">
        <v>6</v>
      </c>
      <c r="N35" t="s">
        <v>42</v>
      </c>
      <c r="O35">
        <f t="shared" si="0"/>
        <v>5595</v>
      </c>
    </row>
    <row r="36" spans="1:15">
      <c r="A36" t="s">
        <v>63</v>
      </c>
      <c r="B36" t="s">
        <v>31</v>
      </c>
      <c r="C36" s="27">
        <v>45452</v>
      </c>
      <c r="D36" t="s">
        <v>57</v>
      </c>
      <c r="E36" t="s">
        <v>374</v>
      </c>
      <c r="F36">
        <v>2786</v>
      </c>
      <c r="G36">
        <v>368</v>
      </c>
      <c r="H36">
        <v>208</v>
      </c>
      <c r="I36">
        <v>42000</v>
      </c>
      <c r="J36">
        <v>39967</v>
      </c>
      <c r="K36">
        <v>103</v>
      </c>
      <c r="L36">
        <v>8.0047619047619048E-2</v>
      </c>
      <c r="M36">
        <v>178</v>
      </c>
      <c r="N36" t="s">
        <v>21</v>
      </c>
      <c r="O36">
        <f t="shared" si="0"/>
        <v>3362</v>
      </c>
    </row>
    <row r="37" spans="1:15">
      <c r="A37" t="s">
        <v>63</v>
      </c>
      <c r="B37" t="s">
        <v>31</v>
      </c>
      <c r="C37" s="27">
        <v>45452</v>
      </c>
      <c r="D37" t="s">
        <v>57</v>
      </c>
      <c r="E37" t="s">
        <v>374</v>
      </c>
      <c r="F37">
        <v>2786</v>
      </c>
      <c r="G37">
        <v>368</v>
      </c>
      <c r="H37">
        <v>208</v>
      </c>
      <c r="I37">
        <v>42000</v>
      </c>
      <c r="J37">
        <v>39967</v>
      </c>
      <c r="K37">
        <v>103</v>
      </c>
      <c r="L37">
        <v>8.0047619047619048E-2</v>
      </c>
      <c r="M37">
        <v>178</v>
      </c>
      <c r="N37" t="s">
        <v>45</v>
      </c>
      <c r="O37">
        <f t="shared" si="0"/>
        <v>3362</v>
      </c>
    </row>
    <row r="38" spans="1:15">
      <c r="A38" t="s">
        <v>64</v>
      </c>
      <c r="B38" t="s">
        <v>24</v>
      </c>
      <c r="C38" s="27">
        <v>45583</v>
      </c>
      <c r="D38" t="s">
        <v>15</v>
      </c>
      <c r="E38" t="s">
        <v>26</v>
      </c>
      <c r="F38">
        <v>2607</v>
      </c>
      <c r="G38">
        <v>379</v>
      </c>
      <c r="H38">
        <v>180</v>
      </c>
      <c r="I38">
        <v>28712</v>
      </c>
      <c r="J38">
        <v>61620</v>
      </c>
      <c r="K38">
        <v>174</v>
      </c>
      <c r="L38">
        <v>0.11026748397882419</v>
      </c>
      <c r="M38">
        <v>83</v>
      </c>
      <c r="N38" t="s">
        <v>45</v>
      </c>
      <c r="O38">
        <f t="shared" si="0"/>
        <v>3166</v>
      </c>
    </row>
    <row r="39" spans="1:15">
      <c r="A39" t="s">
        <v>65</v>
      </c>
      <c r="B39" t="s">
        <v>31</v>
      </c>
      <c r="C39" s="27">
        <v>45575</v>
      </c>
      <c r="D39" t="s">
        <v>57</v>
      </c>
      <c r="E39" t="s">
        <v>374</v>
      </c>
      <c r="F39">
        <v>4013</v>
      </c>
      <c r="G39">
        <v>320</v>
      </c>
      <c r="H39">
        <v>92</v>
      </c>
      <c r="I39">
        <v>54605</v>
      </c>
      <c r="J39">
        <v>60169</v>
      </c>
      <c r="K39">
        <v>232</v>
      </c>
      <c r="L39">
        <v>8.1036535115831879E-2</v>
      </c>
      <c r="M39">
        <v>174</v>
      </c>
      <c r="N39" t="s">
        <v>21</v>
      </c>
      <c r="O39">
        <f t="shared" si="0"/>
        <v>4425</v>
      </c>
    </row>
    <row r="40" spans="1:15">
      <c r="A40" t="s">
        <v>65</v>
      </c>
      <c r="B40" t="s">
        <v>31</v>
      </c>
      <c r="C40" s="27">
        <v>45575</v>
      </c>
      <c r="D40" t="s">
        <v>57</v>
      </c>
      <c r="E40" t="s">
        <v>374</v>
      </c>
      <c r="F40">
        <v>4013</v>
      </c>
      <c r="G40">
        <v>320</v>
      </c>
      <c r="H40">
        <v>92</v>
      </c>
      <c r="I40">
        <v>54605</v>
      </c>
      <c r="J40">
        <v>60169</v>
      </c>
      <c r="K40">
        <v>232</v>
      </c>
      <c r="L40">
        <v>8.1036535115831879E-2</v>
      </c>
      <c r="M40">
        <v>174</v>
      </c>
      <c r="N40" t="s">
        <v>45</v>
      </c>
      <c r="O40">
        <f t="shared" si="0"/>
        <v>4425</v>
      </c>
    </row>
    <row r="41" spans="1:15">
      <c r="A41" t="s">
        <v>66</v>
      </c>
      <c r="B41" t="s">
        <v>24</v>
      </c>
      <c r="C41" s="27">
        <v>45791</v>
      </c>
      <c r="D41" t="s">
        <v>25</v>
      </c>
      <c r="E41" t="s">
        <v>374</v>
      </c>
      <c r="F41">
        <v>2707</v>
      </c>
      <c r="G41">
        <v>103</v>
      </c>
      <c r="H41">
        <v>51</v>
      </c>
      <c r="I41">
        <v>55302</v>
      </c>
      <c r="J41">
        <v>18801</v>
      </c>
      <c r="K41">
        <v>147</v>
      </c>
      <c r="L41">
        <v>5.173411449857148E-2</v>
      </c>
      <c r="M41">
        <v>251</v>
      </c>
      <c r="N41" t="s">
        <v>21</v>
      </c>
      <c r="O41">
        <f t="shared" si="0"/>
        <v>2861</v>
      </c>
    </row>
    <row r="42" spans="1:15">
      <c r="A42" t="s">
        <v>66</v>
      </c>
      <c r="B42" t="s">
        <v>24</v>
      </c>
      <c r="C42" s="27">
        <v>45791</v>
      </c>
      <c r="D42" t="s">
        <v>25</v>
      </c>
      <c r="E42" t="s">
        <v>374</v>
      </c>
      <c r="F42">
        <v>2707</v>
      </c>
      <c r="G42">
        <v>103</v>
      </c>
      <c r="H42">
        <v>51</v>
      </c>
      <c r="I42">
        <v>55302</v>
      </c>
      <c r="J42">
        <v>18801</v>
      </c>
      <c r="K42">
        <v>147</v>
      </c>
      <c r="L42">
        <v>5.173411449857148E-2</v>
      </c>
      <c r="M42">
        <v>251</v>
      </c>
      <c r="N42" t="s">
        <v>377</v>
      </c>
      <c r="O42">
        <f t="shared" si="0"/>
        <v>2861</v>
      </c>
    </row>
    <row r="43" spans="1:15">
      <c r="A43" t="s">
        <v>67</v>
      </c>
      <c r="B43" t="s">
        <v>14</v>
      </c>
      <c r="C43" s="27">
        <v>45625</v>
      </c>
      <c r="D43" t="s">
        <v>15</v>
      </c>
      <c r="E43" t="s">
        <v>373</v>
      </c>
      <c r="F43">
        <v>2824</v>
      </c>
      <c r="G43">
        <v>425</v>
      </c>
      <c r="H43">
        <v>274</v>
      </c>
      <c r="I43">
        <v>31004</v>
      </c>
      <c r="J43">
        <v>53488</v>
      </c>
      <c r="K43">
        <v>268</v>
      </c>
      <c r="L43">
        <v>0.11363049929041415</v>
      </c>
      <c r="M43">
        <v>73</v>
      </c>
      <c r="N43" t="s">
        <v>45</v>
      </c>
      <c r="O43">
        <f t="shared" si="0"/>
        <v>3523</v>
      </c>
    </row>
    <row r="44" spans="1:15">
      <c r="A44" t="s">
        <v>67</v>
      </c>
      <c r="B44" t="s">
        <v>14</v>
      </c>
      <c r="C44" s="27">
        <v>45625</v>
      </c>
      <c r="D44" t="s">
        <v>15</v>
      </c>
      <c r="E44" t="s">
        <v>373</v>
      </c>
      <c r="F44">
        <v>2824</v>
      </c>
      <c r="G44">
        <v>425</v>
      </c>
      <c r="H44">
        <v>274</v>
      </c>
      <c r="I44">
        <v>31004</v>
      </c>
      <c r="J44">
        <v>53488</v>
      </c>
      <c r="K44">
        <v>268</v>
      </c>
      <c r="L44">
        <v>0.11363049929041415</v>
      </c>
      <c r="M44">
        <v>73</v>
      </c>
      <c r="N44" t="s">
        <v>42</v>
      </c>
      <c r="O44">
        <f t="shared" si="0"/>
        <v>3523</v>
      </c>
    </row>
    <row r="45" spans="1:15">
      <c r="A45" t="s">
        <v>68</v>
      </c>
      <c r="B45" t="s">
        <v>31</v>
      </c>
      <c r="C45" s="27">
        <v>45356</v>
      </c>
      <c r="D45" t="s">
        <v>57</v>
      </c>
      <c r="E45" t="s">
        <v>20</v>
      </c>
      <c r="F45">
        <v>3558</v>
      </c>
      <c r="G45">
        <v>314</v>
      </c>
      <c r="H45">
        <v>199</v>
      </c>
      <c r="I45">
        <v>49612</v>
      </c>
      <c r="J45">
        <v>53929</v>
      </c>
      <c r="K45">
        <v>206</v>
      </c>
      <c r="L45">
        <v>8.205676046117874E-2</v>
      </c>
      <c r="M45">
        <v>169</v>
      </c>
      <c r="N45" t="s">
        <v>21</v>
      </c>
      <c r="O45">
        <f t="shared" si="0"/>
        <v>4071</v>
      </c>
    </row>
    <row r="46" spans="1:15">
      <c r="A46" t="s">
        <v>68</v>
      </c>
      <c r="B46" t="s">
        <v>31</v>
      </c>
      <c r="C46" s="27">
        <v>45356</v>
      </c>
      <c r="D46" t="s">
        <v>57</v>
      </c>
      <c r="E46" t="s">
        <v>20</v>
      </c>
      <c r="F46">
        <v>3558</v>
      </c>
      <c r="G46">
        <v>314</v>
      </c>
      <c r="H46">
        <v>199</v>
      </c>
      <c r="I46">
        <v>49612</v>
      </c>
      <c r="J46">
        <v>53929</v>
      </c>
      <c r="K46">
        <v>206</v>
      </c>
      <c r="L46">
        <v>8.205676046117874E-2</v>
      </c>
      <c r="M46">
        <v>169</v>
      </c>
      <c r="N46" t="s">
        <v>45</v>
      </c>
      <c r="O46">
        <f t="shared" si="0"/>
        <v>4071</v>
      </c>
    </row>
    <row r="47" spans="1:15">
      <c r="A47" t="s">
        <v>69</v>
      </c>
      <c r="B47" t="s">
        <v>24</v>
      </c>
      <c r="C47" s="27">
        <v>45734</v>
      </c>
      <c r="D47" t="s">
        <v>25</v>
      </c>
      <c r="E47" t="s">
        <v>20</v>
      </c>
      <c r="F47">
        <v>3418</v>
      </c>
      <c r="G47">
        <v>188</v>
      </c>
      <c r="H47">
        <v>387</v>
      </c>
      <c r="I47">
        <v>57431</v>
      </c>
      <c r="J47">
        <v>36933</v>
      </c>
      <c r="K47">
        <v>202</v>
      </c>
      <c r="L47">
        <v>6.9526910553533799E-2</v>
      </c>
      <c r="M47">
        <v>203</v>
      </c>
      <c r="N47" t="s">
        <v>377</v>
      </c>
      <c r="O47">
        <f t="shared" si="0"/>
        <v>3993</v>
      </c>
    </row>
    <row r="48" spans="1:15">
      <c r="A48" t="s">
        <v>69</v>
      </c>
      <c r="B48" t="s">
        <v>24</v>
      </c>
      <c r="C48" s="27">
        <v>45734</v>
      </c>
      <c r="D48" t="s">
        <v>25</v>
      </c>
      <c r="E48" t="s">
        <v>20</v>
      </c>
      <c r="F48">
        <v>3418</v>
      </c>
      <c r="G48">
        <v>188</v>
      </c>
      <c r="H48">
        <v>387</v>
      </c>
      <c r="I48">
        <v>57431</v>
      </c>
      <c r="J48">
        <v>36933</v>
      </c>
      <c r="K48">
        <v>202</v>
      </c>
      <c r="L48">
        <v>6.9526910553533799E-2</v>
      </c>
      <c r="M48">
        <v>203</v>
      </c>
      <c r="N48" t="s">
        <v>42</v>
      </c>
      <c r="O48">
        <f t="shared" si="0"/>
        <v>3993</v>
      </c>
    </row>
    <row r="49" spans="1:15">
      <c r="A49" t="s">
        <v>70</v>
      </c>
      <c r="B49" t="s">
        <v>24</v>
      </c>
      <c r="C49" s="27">
        <v>45773</v>
      </c>
      <c r="D49" t="s">
        <v>15</v>
      </c>
      <c r="E49" t="s">
        <v>16</v>
      </c>
      <c r="F49">
        <v>2411</v>
      </c>
      <c r="G49">
        <v>194</v>
      </c>
      <c r="H49">
        <v>168</v>
      </c>
      <c r="I49">
        <v>26665</v>
      </c>
      <c r="J49">
        <v>71699</v>
      </c>
      <c r="K49">
        <v>197</v>
      </c>
      <c r="L49">
        <v>0.10399399962497656</v>
      </c>
      <c r="M49">
        <v>101</v>
      </c>
      <c r="N49" t="s">
        <v>42</v>
      </c>
      <c r="O49">
        <f t="shared" si="0"/>
        <v>2773</v>
      </c>
    </row>
    <row r="50" spans="1:15">
      <c r="A50" t="s">
        <v>71</v>
      </c>
      <c r="B50" t="s">
        <v>14</v>
      </c>
      <c r="C50" s="27">
        <v>45658</v>
      </c>
      <c r="D50" t="s">
        <v>15</v>
      </c>
      <c r="E50" t="s">
        <v>26</v>
      </c>
      <c r="F50">
        <v>4036</v>
      </c>
      <c r="G50">
        <v>112</v>
      </c>
      <c r="H50">
        <v>382</v>
      </c>
      <c r="I50">
        <v>56284</v>
      </c>
      <c r="J50">
        <v>29440</v>
      </c>
      <c r="K50">
        <v>279</v>
      </c>
      <c r="L50">
        <v>8.0484684812735408E-2</v>
      </c>
      <c r="M50">
        <v>176</v>
      </c>
      <c r="N50" t="s">
        <v>45</v>
      </c>
      <c r="O50">
        <f t="shared" si="0"/>
        <v>4530</v>
      </c>
    </row>
    <row r="51" spans="1:15">
      <c r="A51" t="s">
        <v>71</v>
      </c>
      <c r="B51" t="s">
        <v>14</v>
      </c>
      <c r="C51" s="27">
        <v>45658</v>
      </c>
      <c r="D51" t="s">
        <v>15</v>
      </c>
      <c r="E51" t="s">
        <v>26</v>
      </c>
      <c r="F51">
        <v>4036</v>
      </c>
      <c r="G51">
        <v>112</v>
      </c>
      <c r="H51">
        <v>382</v>
      </c>
      <c r="I51">
        <v>56284</v>
      </c>
      <c r="J51">
        <v>29440</v>
      </c>
      <c r="K51">
        <v>279</v>
      </c>
      <c r="L51">
        <v>8.0484684812735408E-2</v>
      </c>
      <c r="M51">
        <v>176</v>
      </c>
      <c r="N51" t="s">
        <v>42</v>
      </c>
      <c r="O51">
        <f t="shared" si="0"/>
        <v>4530</v>
      </c>
    </row>
    <row r="52" spans="1:15">
      <c r="A52" t="s">
        <v>72</v>
      </c>
      <c r="B52" t="s">
        <v>24</v>
      </c>
      <c r="C52" s="27">
        <v>45419</v>
      </c>
      <c r="D52" t="s">
        <v>25</v>
      </c>
      <c r="E52" t="s">
        <v>20</v>
      </c>
      <c r="F52">
        <v>2776</v>
      </c>
      <c r="G52">
        <v>307</v>
      </c>
      <c r="H52">
        <v>178</v>
      </c>
      <c r="I52">
        <v>43365</v>
      </c>
      <c r="J52">
        <v>48408</v>
      </c>
      <c r="K52">
        <v>138</v>
      </c>
      <c r="L52">
        <v>7.519889311656866E-2</v>
      </c>
      <c r="M52">
        <v>187</v>
      </c>
      <c r="N52" t="s">
        <v>45</v>
      </c>
      <c r="O52">
        <f t="shared" si="0"/>
        <v>3261</v>
      </c>
    </row>
    <row r="53" spans="1:15">
      <c r="A53" t="s">
        <v>72</v>
      </c>
      <c r="B53" t="s">
        <v>24</v>
      </c>
      <c r="C53" s="27">
        <v>45419</v>
      </c>
      <c r="D53" t="s">
        <v>25</v>
      </c>
      <c r="E53" t="s">
        <v>20</v>
      </c>
      <c r="F53">
        <v>2776</v>
      </c>
      <c r="G53">
        <v>307</v>
      </c>
      <c r="H53">
        <v>178</v>
      </c>
      <c r="I53">
        <v>43365</v>
      </c>
      <c r="J53">
        <v>48408</v>
      </c>
      <c r="K53">
        <v>138</v>
      </c>
      <c r="L53">
        <v>7.519889311656866E-2</v>
      </c>
      <c r="M53">
        <v>187</v>
      </c>
      <c r="N53" t="s">
        <v>42</v>
      </c>
      <c r="O53">
        <f t="shared" si="0"/>
        <v>3261</v>
      </c>
    </row>
    <row r="54" spans="1:15">
      <c r="A54" t="s">
        <v>73</v>
      </c>
      <c r="B54" t="s">
        <v>24</v>
      </c>
      <c r="C54" s="27">
        <v>45574</v>
      </c>
      <c r="D54" t="s">
        <v>25</v>
      </c>
      <c r="E54" t="s">
        <v>16</v>
      </c>
      <c r="F54">
        <v>4929</v>
      </c>
      <c r="G54">
        <v>182</v>
      </c>
      <c r="H54">
        <v>95</v>
      </c>
      <c r="I54">
        <v>32181</v>
      </c>
      <c r="J54">
        <v>31084</v>
      </c>
      <c r="K54">
        <v>289</v>
      </c>
      <c r="L54">
        <v>0.16177247444144061</v>
      </c>
      <c r="M54">
        <v>25</v>
      </c>
      <c r="N54" t="s">
        <v>21</v>
      </c>
      <c r="O54">
        <f t="shared" si="0"/>
        <v>5206</v>
      </c>
    </row>
    <row r="55" spans="1:15">
      <c r="A55" t="s">
        <v>73</v>
      </c>
      <c r="B55" t="s">
        <v>24</v>
      </c>
      <c r="C55" s="27">
        <v>45574</v>
      </c>
      <c r="D55" t="s">
        <v>25</v>
      </c>
      <c r="E55" t="s">
        <v>16</v>
      </c>
      <c r="F55">
        <v>4929</v>
      </c>
      <c r="G55">
        <v>182</v>
      </c>
      <c r="H55">
        <v>95</v>
      </c>
      <c r="I55">
        <v>32181</v>
      </c>
      <c r="J55">
        <v>31084</v>
      </c>
      <c r="K55">
        <v>289</v>
      </c>
      <c r="L55">
        <v>0.16177247444144061</v>
      </c>
      <c r="M55">
        <v>25</v>
      </c>
      <c r="N55" t="s">
        <v>377</v>
      </c>
      <c r="O55">
        <f t="shared" si="0"/>
        <v>5206</v>
      </c>
    </row>
    <row r="56" spans="1:15">
      <c r="A56" t="s">
        <v>74</v>
      </c>
      <c r="B56" t="s">
        <v>14</v>
      </c>
      <c r="C56" s="27">
        <v>45666</v>
      </c>
      <c r="D56" t="s">
        <v>15</v>
      </c>
      <c r="E56" t="s">
        <v>26</v>
      </c>
      <c r="F56">
        <v>1015</v>
      </c>
      <c r="G56">
        <v>366</v>
      </c>
      <c r="H56">
        <v>308</v>
      </c>
      <c r="I56">
        <v>38127</v>
      </c>
      <c r="J56">
        <v>63790</v>
      </c>
      <c r="K56">
        <v>287</v>
      </c>
      <c r="L56">
        <v>4.4299315445747112E-2</v>
      </c>
      <c r="M56">
        <v>268</v>
      </c>
      <c r="N56" t="s">
        <v>45</v>
      </c>
      <c r="O56">
        <f t="shared" si="0"/>
        <v>1689</v>
      </c>
    </row>
    <row r="57" spans="1:15">
      <c r="A57" t="s">
        <v>74</v>
      </c>
      <c r="B57" t="s">
        <v>14</v>
      </c>
      <c r="C57" s="27">
        <v>45666</v>
      </c>
      <c r="D57" t="s">
        <v>15</v>
      </c>
      <c r="E57" t="s">
        <v>26</v>
      </c>
      <c r="F57">
        <v>1015</v>
      </c>
      <c r="G57">
        <v>366</v>
      </c>
      <c r="H57">
        <v>308</v>
      </c>
      <c r="I57">
        <v>38127</v>
      </c>
      <c r="J57">
        <v>63790</v>
      </c>
      <c r="K57">
        <v>287</v>
      </c>
      <c r="L57">
        <v>4.4299315445747112E-2</v>
      </c>
      <c r="M57">
        <v>268</v>
      </c>
      <c r="N57" t="s">
        <v>42</v>
      </c>
      <c r="O57">
        <f t="shared" si="0"/>
        <v>1689</v>
      </c>
    </row>
    <row r="58" spans="1:15">
      <c r="A58" t="s">
        <v>75</v>
      </c>
      <c r="B58" t="s">
        <v>24</v>
      </c>
      <c r="C58" s="27">
        <v>45785</v>
      </c>
      <c r="D58" t="s">
        <v>25</v>
      </c>
      <c r="E58" t="s">
        <v>51</v>
      </c>
      <c r="F58">
        <v>3316</v>
      </c>
      <c r="G58">
        <v>332</v>
      </c>
      <c r="H58">
        <v>268</v>
      </c>
      <c r="I58">
        <v>40095</v>
      </c>
      <c r="J58">
        <v>36913</v>
      </c>
      <c r="K58">
        <v>265</v>
      </c>
      <c r="L58">
        <v>9.7668038408779148E-2</v>
      </c>
      <c r="M58">
        <v>116</v>
      </c>
      <c r="N58" t="s">
        <v>377</v>
      </c>
      <c r="O58">
        <f t="shared" si="0"/>
        <v>3916</v>
      </c>
    </row>
    <row r="59" spans="1:15">
      <c r="A59" t="s">
        <v>75</v>
      </c>
      <c r="B59" t="s">
        <v>24</v>
      </c>
      <c r="C59" s="27">
        <v>45785</v>
      </c>
      <c r="D59" t="s">
        <v>25</v>
      </c>
      <c r="E59" t="s">
        <v>51</v>
      </c>
      <c r="F59">
        <v>3316</v>
      </c>
      <c r="G59">
        <v>332</v>
      </c>
      <c r="H59">
        <v>268</v>
      </c>
      <c r="I59">
        <v>40095</v>
      </c>
      <c r="J59">
        <v>36913</v>
      </c>
      <c r="K59">
        <v>265</v>
      </c>
      <c r="L59">
        <v>9.7668038408779148E-2</v>
      </c>
      <c r="M59">
        <v>116</v>
      </c>
      <c r="N59" t="s">
        <v>42</v>
      </c>
      <c r="O59">
        <f t="shared" si="0"/>
        <v>3916</v>
      </c>
    </row>
    <row r="60" spans="1:15">
      <c r="A60" t="s">
        <v>76</v>
      </c>
      <c r="B60" t="s">
        <v>14</v>
      </c>
      <c r="C60" s="27">
        <v>45416</v>
      </c>
      <c r="D60" t="s">
        <v>15</v>
      </c>
      <c r="E60" t="s">
        <v>376</v>
      </c>
      <c r="F60">
        <v>2274</v>
      </c>
      <c r="G60">
        <v>243</v>
      </c>
      <c r="H60">
        <v>222</v>
      </c>
      <c r="I60">
        <v>43066</v>
      </c>
      <c r="J60">
        <v>59174</v>
      </c>
      <c r="K60">
        <v>80</v>
      </c>
      <c r="L60">
        <v>6.3600055728416843E-2</v>
      </c>
      <c r="M60">
        <v>215</v>
      </c>
      <c r="N60" t="s">
        <v>21</v>
      </c>
      <c r="O60">
        <f t="shared" si="0"/>
        <v>2739</v>
      </c>
    </row>
    <row r="61" spans="1:15">
      <c r="A61" t="s">
        <v>77</v>
      </c>
      <c r="B61" t="s">
        <v>24</v>
      </c>
      <c r="C61" s="27">
        <v>45804</v>
      </c>
      <c r="D61" t="s">
        <v>25</v>
      </c>
      <c r="E61" t="s">
        <v>20</v>
      </c>
      <c r="F61">
        <v>4095</v>
      </c>
      <c r="G61">
        <v>385</v>
      </c>
      <c r="H61">
        <v>400</v>
      </c>
      <c r="I61">
        <v>45300</v>
      </c>
      <c r="J61">
        <v>31795</v>
      </c>
      <c r="K61">
        <v>80</v>
      </c>
      <c r="L61">
        <v>0.10772626931567329</v>
      </c>
      <c r="M61">
        <v>89</v>
      </c>
      <c r="N61" t="s">
        <v>377</v>
      </c>
      <c r="O61">
        <f t="shared" si="0"/>
        <v>4880</v>
      </c>
    </row>
    <row r="62" spans="1:15">
      <c r="A62" t="s">
        <v>77</v>
      </c>
      <c r="B62" t="s">
        <v>24</v>
      </c>
      <c r="C62" s="27">
        <v>45804</v>
      </c>
      <c r="D62" t="s">
        <v>25</v>
      </c>
      <c r="E62" t="s">
        <v>20</v>
      </c>
      <c r="F62">
        <v>4095</v>
      </c>
      <c r="G62">
        <v>385</v>
      </c>
      <c r="H62">
        <v>400</v>
      </c>
      <c r="I62">
        <v>45300</v>
      </c>
      <c r="J62">
        <v>31795</v>
      </c>
      <c r="K62">
        <v>80</v>
      </c>
      <c r="L62">
        <v>0.10772626931567329</v>
      </c>
      <c r="M62">
        <v>89</v>
      </c>
      <c r="N62" t="s">
        <v>42</v>
      </c>
      <c r="O62">
        <f t="shared" si="0"/>
        <v>4880</v>
      </c>
    </row>
    <row r="63" spans="1:15">
      <c r="A63" t="s">
        <v>78</v>
      </c>
      <c r="B63" t="s">
        <v>14</v>
      </c>
      <c r="C63" s="27">
        <v>45545</v>
      </c>
      <c r="D63" t="s">
        <v>25</v>
      </c>
      <c r="E63" t="s">
        <v>26</v>
      </c>
      <c r="F63">
        <v>1230</v>
      </c>
      <c r="G63">
        <v>309</v>
      </c>
      <c r="H63">
        <v>207</v>
      </c>
      <c r="I63">
        <v>44629</v>
      </c>
      <c r="J63">
        <v>40699</v>
      </c>
      <c r="K63">
        <v>195</v>
      </c>
      <c r="L63">
        <v>3.9122543637545096E-2</v>
      </c>
      <c r="M63">
        <v>280</v>
      </c>
      <c r="N63" t="s">
        <v>42</v>
      </c>
      <c r="O63">
        <f t="shared" si="0"/>
        <v>1746</v>
      </c>
    </row>
    <row r="64" spans="1:15">
      <c r="A64" t="s">
        <v>79</v>
      </c>
      <c r="B64" t="s">
        <v>14</v>
      </c>
      <c r="C64" s="27">
        <v>45621</v>
      </c>
      <c r="D64" t="s">
        <v>15</v>
      </c>
      <c r="E64" t="s">
        <v>374</v>
      </c>
      <c r="F64">
        <v>1341</v>
      </c>
      <c r="G64">
        <v>472</v>
      </c>
      <c r="H64">
        <v>238</v>
      </c>
      <c r="I64">
        <v>51386</v>
      </c>
      <c r="J64">
        <v>51706</v>
      </c>
      <c r="K64">
        <v>133</v>
      </c>
      <c r="L64">
        <v>3.9913595142645857E-2</v>
      </c>
      <c r="M64">
        <v>277</v>
      </c>
      <c r="N64" t="s">
        <v>21</v>
      </c>
      <c r="O64">
        <f t="shared" si="0"/>
        <v>2051</v>
      </c>
    </row>
    <row r="65" spans="1:15">
      <c r="A65" t="s">
        <v>80</v>
      </c>
      <c r="B65" t="s">
        <v>24</v>
      </c>
      <c r="C65" s="27">
        <v>45818</v>
      </c>
      <c r="D65" t="s">
        <v>15</v>
      </c>
      <c r="E65" t="s">
        <v>20</v>
      </c>
      <c r="F65">
        <v>3615</v>
      </c>
      <c r="G65">
        <v>192</v>
      </c>
      <c r="H65">
        <v>162</v>
      </c>
      <c r="I65">
        <v>27492</v>
      </c>
      <c r="J65">
        <v>35341</v>
      </c>
      <c r="K65">
        <v>125</v>
      </c>
      <c r="L65">
        <v>0.14436927106067218</v>
      </c>
      <c r="M65">
        <v>42</v>
      </c>
      <c r="N65" t="s">
        <v>42</v>
      </c>
      <c r="O65">
        <f t="shared" si="0"/>
        <v>3969</v>
      </c>
    </row>
    <row r="66" spans="1:15">
      <c r="A66" t="s">
        <v>81</v>
      </c>
      <c r="B66" t="s">
        <v>14</v>
      </c>
      <c r="C66" s="27">
        <v>45401</v>
      </c>
      <c r="D66" t="s">
        <v>15</v>
      </c>
      <c r="E66" t="s">
        <v>26</v>
      </c>
      <c r="F66">
        <v>4001</v>
      </c>
      <c r="G66">
        <v>353</v>
      </c>
      <c r="H66">
        <v>129</v>
      </c>
      <c r="I66">
        <v>41265</v>
      </c>
      <c r="J66">
        <v>37279</v>
      </c>
      <c r="K66">
        <v>275</v>
      </c>
      <c r="L66">
        <v>0.10863928268508422</v>
      </c>
      <c r="M66">
        <v>87</v>
      </c>
      <c r="N66" t="s">
        <v>45</v>
      </c>
      <c r="O66">
        <f t="shared" ref="O66:O129" si="1" xml:space="preserve"> F66 + G66+H66</f>
        <v>4483</v>
      </c>
    </row>
    <row r="67" spans="1:15">
      <c r="A67" t="s">
        <v>81</v>
      </c>
      <c r="B67" t="s">
        <v>14</v>
      </c>
      <c r="C67" s="27">
        <v>45401</v>
      </c>
      <c r="D67" t="s">
        <v>15</v>
      </c>
      <c r="E67" t="s">
        <v>26</v>
      </c>
      <c r="F67">
        <v>4001</v>
      </c>
      <c r="G67">
        <v>353</v>
      </c>
      <c r="H67">
        <v>129</v>
      </c>
      <c r="I67">
        <v>41265</v>
      </c>
      <c r="J67">
        <v>37279</v>
      </c>
      <c r="K67">
        <v>275</v>
      </c>
      <c r="L67">
        <v>0.10863928268508422</v>
      </c>
      <c r="M67">
        <v>87</v>
      </c>
      <c r="N67" t="s">
        <v>42</v>
      </c>
      <c r="O67">
        <f t="shared" si="1"/>
        <v>4483</v>
      </c>
    </row>
    <row r="68" spans="1:15">
      <c r="A68" t="s">
        <v>82</v>
      </c>
      <c r="B68" t="s">
        <v>14</v>
      </c>
      <c r="C68" s="27">
        <v>45683</v>
      </c>
      <c r="D68" t="s">
        <v>25</v>
      </c>
      <c r="E68" t="s">
        <v>373</v>
      </c>
      <c r="F68">
        <v>3451</v>
      </c>
      <c r="G68">
        <v>363</v>
      </c>
      <c r="H68">
        <v>393</v>
      </c>
      <c r="I68">
        <v>44853</v>
      </c>
      <c r="J68">
        <v>69032</v>
      </c>
      <c r="K68">
        <v>211</v>
      </c>
      <c r="L68">
        <v>9.379528682585335E-2</v>
      </c>
      <c r="M68">
        <v>128</v>
      </c>
      <c r="N68" t="s">
        <v>42</v>
      </c>
      <c r="O68">
        <f t="shared" si="1"/>
        <v>4207</v>
      </c>
    </row>
    <row r="69" spans="1:15">
      <c r="A69" t="s">
        <v>83</v>
      </c>
      <c r="B69" t="s">
        <v>14</v>
      </c>
      <c r="C69" s="27">
        <v>45702</v>
      </c>
      <c r="D69" t="s">
        <v>15</v>
      </c>
      <c r="E69" t="s">
        <v>41</v>
      </c>
      <c r="F69">
        <v>4891</v>
      </c>
      <c r="G69">
        <v>450</v>
      </c>
      <c r="H69">
        <v>387</v>
      </c>
      <c r="I69">
        <v>48746</v>
      </c>
      <c r="J69">
        <v>37312</v>
      </c>
      <c r="K69">
        <v>154</v>
      </c>
      <c r="L69">
        <v>0.11750707750379519</v>
      </c>
      <c r="M69">
        <v>66</v>
      </c>
      <c r="N69" t="s">
        <v>45</v>
      </c>
      <c r="O69">
        <f t="shared" si="1"/>
        <v>5728</v>
      </c>
    </row>
    <row r="70" spans="1:15">
      <c r="A70" t="s">
        <v>83</v>
      </c>
      <c r="B70" t="s">
        <v>14</v>
      </c>
      <c r="C70" s="27">
        <v>45702</v>
      </c>
      <c r="D70" t="s">
        <v>15</v>
      </c>
      <c r="E70" t="s">
        <v>41</v>
      </c>
      <c r="F70">
        <v>4891</v>
      </c>
      <c r="G70">
        <v>450</v>
      </c>
      <c r="H70">
        <v>387</v>
      </c>
      <c r="I70">
        <v>48746</v>
      </c>
      <c r="J70">
        <v>37312</v>
      </c>
      <c r="K70">
        <v>154</v>
      </c>
      <c r="L70">
        <v>0.11750707750379519</v>
      </c>
      <c r="M70">
        <v>66</v>
      </c>
      <c r="N70" t="s">
        <v>42</v>
      </c>
      <c r="O70">
        <f t="shared" si="1"/>
        <v>5728</v>
      </c>
    </row>
    <row r="71" spans="1:15">
      <c r="A71" t="s">
        <v>84</v>
      </c>
      <c r="B71" t="s">
        <v>14</v>
      </c>
      <c r="C71" s="27">
        <v>45541</v>
      </c>
      <c r="D71" t="s">
        <v>15</v>
      </c>
      <c r="E71" t="s">
        <v>26</v>
      </c>
      <c r="F71">
        <v>1452</v>
      </c>
      <c r="G71">
        <v>281</v>
      </c>
      <c r="H71">
        <v>326</v>
      </c>
      <c r="I71">
        <v>51556</v>
      </c>
      <c r="J71">
        <v>62599</v>
      </c>
      <c r="K71">
        <v>290</v>
      </c>
      <c r="L71">
        <v>3.9937155714174881E-2</v>
      </c>
      <c r="M71">
        <v>276</v>
      </c>
      <c r="N71" t="s">
        <v>21</v>
      </c>
      <c r="O71">
        <f t="shared" si="1"/>
        <v>2059</v>
      </c>
    </row>
    <row r="72" spans="1:15">
      <c r="A72" t="s">
        <v>85</v>
      </c>
      <c r="B72" t="s">
        <v>31</v>
      </c>
      <c r="C72" s="27">
        <v>45487</v>
      </c>
      <c r="D72" t="s">
        <v>15</v>
      </c>
      <c r="E72" t="s">
        <v>51</v>
      </c>
      <c r="F72">
        <v>3806</v>
      </c>
      <c r="G72">
        <v>114</v>
      </c>
      <c r="H72">
        <v>278</v>
      </c>
      <c r="I72">
        <v>36148</v>
      </c>
      <c r="J72">
        <v>24209</v>
      </c>
      <c r="K72">
        <v>201</v>
      </c>
      <c r="L72">
        <v>0.11613367267898639</v>
      </c>
      <c r="M72">
        <v>70</v>
      </c>
      <c r="N72" t="s">
        <v>21</v>
      </c>
      <c r="O72">
        <f t="shared" si="1"/>
        <v>4198</v>
      </c>
    </row>
    <row r="73" spans="1:15">
      <c r="A73" t="s">
        <v>85</v>
      </c>
      <c r="B73" t="s">
        <v>31</v>
      </c>
      <c r="C73" s="27">
        <v>45487</v>
      </c>
      <c r="D73" t="s">
        <v>15</v>
      </c>
      <c r="E73" t="s">
        <v>51</v>
      </c>
      <c r="F73">
        <v>3806</v>
      </c>
      <c r="G73">
        <v>114</v>
      </c>
      <c r="H73">
        <v>278</v>
      </c>
      <c r="I73">
        <v>36148</v>
      </c>
      <c r="J73">
        <v>24209</v>
      </c>
      <c r="K73">
        <v>201</v>
      </c>
      <c r="L73">
        <v>0.11613367267898639</v>
      </c>
      <c r="M73">
        <v>70</v>
      </c>
      <c r="N73" t="s">
        <v>378</v>
      </c>
      <c r="O73">
        <f t="shared" si="1"/>
        <v>4198</v>
      </c>
    </row>
    <row r="74" spans="1:15">
      <c r="A74" t="s">
        <v>86</v>
      </c>
      <c r="B74" t="s">
        <v>14</v>
      </c>
      <c r="C74" s="27">
        <v>45334</v>
      </c>
      <c r="D74" t="s">
        <v>15</v>
      </c>
      <c r="E74" t="s">
        <v>20</v>
      </c>
      <c r="F74">
        <v>2923</v>
      </c>
      <c r="G74">
        <v>330</v>
      </c>
      <c r="H74">
        <v>250</v>
      </c>
      <c r="I74">
        <v>23993</v>
      </c>
      <c r="J74">
        <v>74590</v>
      </c>
      <c r="K74">
        <v>92</v>
      </c>
      <c r="L74">
        <v>0.14600091693410577</v>
      </c>
      <c r="M74">
        <v>40</v>
      </c>
      <c r="N74" t="s">
        <v>21</v>
      </c>
      <c r="O74">
        <f t="shared" si="1"/>
        <v>3503</v>
      </c>
    </row>
    <row r="75" spans="1:15">
      <c r="A75" t="s">
        <v>87</v>
      </c>
      <c r="B75" t="s">
        <v>31</v>
      </c>
      <c r="C75" s="27">
        <v>45365</v>
      </c>
      <c r="D75" t="s">
        <v>57</v>
      </c>
      <c r="E75" t="s">
        <v>374</v>
      </c>
      <c r="F75">
        <v>3361</v>
      </c>
      <c r="G75">
        <v>188</v>
      </c>
      <c r="H75">
        <v>358</v>
      </c>
      <c r="I75">
        <v>39838</v>
      </c>
      <c r="J75">
        <v>24536</v>
      </c>
      <c r="K75">
        <v>120</v>
      </c>
      <c r="L75">
        <v>9.8072192379135503E-2</v>
      </c>
      <c r="M75">
        <v>113</v>
      </c>
      <c r="N75" t="s">
        <v>21</v>
      </c>
      <c r="O75">
        <f t="shared" si="1"/>
        <v>3907</v>
      </c>
    </row>
    <row r="76" spans="1:15">
      <c r="A76" t="s">
        <v>87</v>
      </c>
      <c r="B76" t="s">
        <v>31</v>
      </c>
      <c r="C76" s="27">
        <v>45365</v>
      </c>
      <c r="D76" t="s">
        <v>57</v>
      </c>
      <c r="E76" t="s">
        <v>374</v>
      </c>
      <c r="F76">
        <v>3361</v>
      </c>
      <c r="G76">
        <v>188</v>
      </c>
      <c r="H76">
        <v>358</v>
      </c>
      <c r="I76">
        <v>39838</v>
      </c>
      <c r="J76">
        <v>24536</v>
      </c>
      <c r="K76">
        <v>120</v>
      </c>
      <c r="L76">
        <v>9.8072192379135503E-2</v>
      </c>
      <c r="M76">
        <v>113</v>
      </c>
      <c r="N76" t="s">
        <v>45</v>
      </c>
      <c r="O76">
        <f t="shared" si="1"/>
        <v>3907</v>
      </c>
    </row>
    <row r="77" spans="1:15">
      <c r="A77" t="s">
        <v>88</v>
      </c>
      <c r="B77" t="s">
        <v>14</v>
      </c>
      <c r="C77" s="27">
        <v>45693</v>
      </c>
      <c r="D77" t="s">
        <v>25</v>
      </c>
      <c r="E77" t="s">
        <v>375</v>
      </c>
      <c r="F77">
        <v>3074</v>
      </c>
      <c r="G77">
        <v>371</v>
      </c>
      <c r="H77">
        <v>348</v>
      </c>
      <c r="I77">
        <v>24104</v>
      </c>
      <c r="J77">
        <v>57803</v>
      </c>
      <c r="K77">
        <v>213</v>
      </c>
      <c r="L77">
        <v>0.15735977431131762</v>
      </c>
      <c r="M77">
        <v>30</v>
      </c>
      <c r="N77" t="s">
        <v>42</v>
      </c>
      <c r="O77">
        <f t="shared" si="1"/>
        <v>3793</v>
      </c>
    </row>
    <row r="78" spans="1:15">
      <c r="A78" t="s">
        <v>89</v>
      </c>
      <c r="B78" t="s">
        <v>24</v>
      </c>
      <c r="C78" s="27">
        <v>45533</v>
      </c>
      <c r="D78" t="s">
        <v>25</v>
      </c>
      <c r="E78" t="s">
        <v>37</v>
      </c>
      <c r="F78">
        <v>4276</v>
      </c>
      <c r="G78">
        <v>227</v>
      </c>
      <c r="H78">
        <v>223</v>
      </c>
      <c r="I78">
        <v>43443</v>
      </c>
      <c r="J78">
        <v>41005</v>
      </c>
      <c r="K78">
        <v>191</v>
      </c>
      <c r="L78">
        <v>0.1087862256289851</v>
      </c>
      <c r="M78">
        <v>86</v>
      </c>
      <c r="N78" t="s">
        <v>21</v>
      </c>
      <c r="O78">
        <f t="shared" si="1"/>
        <v>4726</v>
      </c>
    </row>
    <row r="79" spans="1:15">
      <c r="A79" t="s">
        <v>89</v>
      </c>
      <c r="B79" t="s">
        <v>24</v>
      </c>
      <c r="C79" s="27">
        <v>45533</v>
      </c>
      <c r="D79" t="s">
        <v>25</v>
      </c>
      <c r="E79" t="s">
        <v>37</v>
      </c>
      <c r="F79">
        <v>4276</v>
      </c>
      <c r="G79">
        <v>227</v>
      </c>
      <c r="H79">
        <v>223</v>
      </c>
      <c r="I79">
        <v>43443</v>
      </c>
      <c r="J79">
        <v>41005</v>
      </c>
      <c r="K79">
        <v>191</v>
      </c>
      <c r="L79">
        <v>0.1087862256289851</v>
      </c>
      <c r="M79">
        <v>86</v>
      </c>
      <c r="N79" t="s">
        <v>377</v>
      </c>
      <c r="O79">
        <f t="shared" si="1"/>
        <v>4726</v>
      </c>
    </row>
    <row r="80" spans="1:15">
      <c r="A80" t="s">
        <v>90</v>
      </c>
      <c r="B80" t="s">
        <v>24</v>
      </c>
      <c r="C80" s="27">
        <v>45769</v>
      </c>
      <c r="D80" t="s">
        <v>15</v>
      </c>
      <c r="E80" t="s">
        <v>16</v>
      </c>
      <c r="F80">
        <v>4401</v>
      </c>
      <c r="G80">
        <v>421</v>
      </c>
      <c r="H80">
        <v>216</v>
      </c>
      <c r="I80">
        <v>24890</v>
      </c>
      <c r="J80">
        <v>54361</v>
      </c>
      <c r="K80">
        <v>148</v>
      </c>
      <c r="L80">
        <v>0.20241060666934513</v>
      </c>
      <c r="M80">
        <v>5</v>
      </c>
      <c r="N80" t="s">
        <v>42</v>
      </c>
      <c r="O80">
        <f t="shared" si="1"/>
        <v>5038</v>
      </c>
    </row>
    <row r="81" spans="1:15">
      <c r="A81" t="s">
        <v>91</v>
      </c>
      <c r="B81" t="s">
        <v>31</v>
      </c>
      <c r="C81" s="27">
        <v>45425</v>
      </c>
      <c r="D81" t="s">
        <v>57</v>
      </c>
      <c r="E81" t="s">
        <v>20</v>
      </c>
      <c r="F81">
        <v>4161</v>
      </c>
      <c r="G81">
        <v>481</v>
      </c>
      <c r="H81">
        <v>61</v>
      </c>
      <c r="I81">
        <v>45884</v>
      </c>
      <c r="J81">
        <v>48955</v>
      </c>
      <c r="K81">
        <v>215</v>
      </c>
      <c r="L81">
        <v>0.10249760265016128</v>
      </c>
      <c r="M81">
        <v>104</v>
      </c>
      <c r="N81" t="s">
        <v>21</v>
      </c>
      <c r="O81">
        <f t="shared" si="1"/>
        <v>4703</v>
      </c>
    </row>
    <row r="82" spans="1:15">
      <c r="A82" t="s">
        <v>91</v>
      </c>
      <c r="B82" t="s">
        <v>31</v>
      </c>
      <c r="C82" s="27">
        <v>45425</v>
      </c>
      <c r="D82" t="s">
        <v>57</v>
      </c>
      <c r="E82" t="s">
        <v>20</v>
      </c>
      <c r="F82">
        <v>4161</v>
      </c>
      <c r="G82">
        <v>481</v>
      </c>
      <c r="H82">
        <v>61</v>
      </c>
      <c r="I82">
        <v>45884</v>
      </c>
      <c r="J82">
        <v>48955</v>
      </c>
      <c r="K82">
        <v>215</v>
      </c>
      <c r="L82">
        <v>0.10249760265016128</v>
      </c>
      <c r="M82">
        <v>104</v>
      </c>
      <c r="N82" t="s">
        <v>45</v>
      </c>
      <c r="O82">
        <f t="shared" si="1"/>
        <v>4703</v>
      </c>
    </row>
    <row r="83" spans="1:15">
      <c r="A83" t="s">
        <v>92</v>
      </c>
      <c r="B83" t="s">
        <v>24</v>
      </c>
      <c r="C83" s="27">
        <v>45539</v>
      </c>
      <c r="D83" t="s">
        <v>25</v>
      </c>
      <c r="E83" t="s">
        <v>26</v>
      </c>
      <c r="F83">
        <v>2613</v>
      </c>
      <c r="G83">
        <v>455</v>
      </c>
      <c r="H83">
        <v>228</v>
      </c>
      <c r="I83">
        <v>21645</v>
      </c>
      <c r="J83">
        <v>61334</v>
      </c>
      <c r="K83">
        <v>261</v>
      </c>
      <c r="L83">
        <v>0.15227535227535227</v>
      </c>
      <c r="M83">
        <v>36</v>
      </c>
      <c r="N83" t="s">
        <v>21</v>
      </c>
      <c r="O83">
        <f t="shared" si="1"/>
        <v>3296</v>
      </c>
    </row>
    <row r="84" spans="1:15">
      <c r="A84" t="s">
        <v>92</v>
      </c>
      <c r="B84" t="s">
        <v>24</v>
      </c>
      <c r="C84" s="27">
        <v>45539</v>
      </c>
      <c r="D84" t="s">
        <v>25</v>
      </c>
      <c r="E84" t="s">
        <v>26</v>
      </c>
      <c r="F84">
        <v>2613</v>
      </c>
      <c r="G84">
        <v>455</v>
      </c>
      <c r="H84">
        <v>228</v>
      </c>
      <c r="I84">
        <v>21645</v>
      </c>
      <c r="J84">
        <v>61334</v>
      </c>
      <c r="K84">
        <v>261</v>
      </c>
      <c r="L84">
        <v>0.15227535227535227</v>
      </c>
      <c r="M84">
        <v>36</v>
      </c>
      <c r="N84" t="s">
        <v>377</v>
      </c>
      <c r="O84">
        <f t="shared" si="1"/>
        <v>3296</v>
      </c>
    </row>
    <row r="85" spans="1:15">
      <c r="A85" t="s">
        <v>93</v>
      </c>
      <c r="B85" t="s">
        <v>24</v>
      </c>
      <c r="C85" s="27">
        <v>45516</v>
      </c>
      <c r="D85" t="s">
        <v>25</v>
      </c>
      <c r="E85" t="s">
        <v>373</v>
      </c>
      <c r="F85">
        <v>2842</v>
      </c>
      <c r="G85">
        <v>213</v>
      </c>
      <c r="H85">
        <v>331</v>
      </c>
      <c r="I85">
        <v>57660</v>
      </c>
      <c r="J85">
        <v>68606</v>
      </c>
      <c r="K85">
        <v>87</v>
      </c>
      <c r="L85">
        <v>5.8723551855705859E-2</v>
      </c>
      <c r="M85">
        <v>228</v>
      </c>
      <c r="N85" t="s">
        <v>377</v>
      </c>
      <c r="O85">
        <f t="shared" si="1"/>
        <v>3386</v>
      </c>
    </row>
    <row r="86" spans="1:15">
      <c r="A86" t="s">
        <v>93</v>
      </c>
      <c r="B86" t="s">
        <v>24</v>
      </c>
      <c r="C86" s="27">
        <v>45516</v>
      </c>
      <c r="D86" t="s">
        <v>25</v>
      </c>
      <c r="E86" t="s">
        <v>373</v>
      </c>
      <c r="F86">
        <v>2842</v>
      </c>
      <c r="G86">
        <v>213</v>
      </c>
      <c r="H86">
        <v>331</v>
      </c>
      <c r="I86">
        <v>57660</v>
      </c>
      <c r="J86">
        <v>68606</v>
      </c>
      <c r="K86">
        <v>87</v>
      </c>
      <c r="L86">
        <v>5.8723551855705859E-2</v>
      </c>
      <c r="M86">
        <v>228</v>
      </c>
      <c r="N86" t="s">
        <v>42</v>
      </c>
      <c r="O86">
        <f t="shared" si="1"/>
        <v>3386</v>
      </c>
    </row>
    <row r="87" spans="1:15">
      <c r="A87" t="s">
        <v>94</v>
      </c>
      <c r="B87" t="s">
        <v>14</v>
      </c>
      <c r="C87" s="27">
        <v>45722</v>
      </c>
      <c r="D87" t="s">
        <v>15</v>
      </c>
      <c r="E87" t="s">
        <v>37</v>
      </c>
      <c r="F87">
        <v>4851</v>
      </c>
      <c r="G87">
        <v>460</v>
      </c>
      <c r="H87">
        <v>212</v>
      </c>
      <c r="I87">
        <v>58075</v>
      </c>
      <c r="J87">
        <v>59574</v>
      </c>
      <c r="K87">
        <v>239</v>
      </c>
      <c r="L87">
        <v>9.5101162290142052E-2</v>
      </c>
      <c r="M87">
        <v>119</v>
      </c>
      <c r="N87" t="s">
        <v>21</v>
      </c>
      <c r="O87">
        <f t="shared" si="1"/>
        <v>5523</v>
      </c>
    </row>
    <row r="88" spans="1:15">
      <c r="A88" t="s">
        <v>95</v>
      </c>
      <c r="B88" t="s">
        <v>24</v>
      </c>
      <c r="C88" s="27">
        <v>45420</v>
      </c>
      <c r="D88" t="s">
        <v>15</v>
      </c>
      <c r="E88" t="s">
        <v>20</v>
      </c>
      <c r="F88">
        <v>1828</v>
      </c>
      <c r="G88">
        <v>450</v>
      </c>
      <c r="H88">
        <v>214</v>
      </c>
      <c r="I88">
        <v>52115</v>
      </c>
      <c r="J88">
        <v>19166</v>
      </c>
      <c r="K88">
        <v>190</v>
      </c>
      <c r="L88">
        <v>4.781732706514439E-2</v>
      </c>
      <c r="M88">
        <v>259</v>
      </c>
      <c r="N88" t="s">
        <v>42</v>
      </c>
      <c r="O88">
        <f t="shared" si="1"/>
        <v>2492</v>
      </c>
    </row>
    <row r="89" spans="1:15">
      <c r="A89" t="s">
        <v>96</v>
      </c>
      <c r="B89" t="s">
        <v>14</v>
      </c>
      <c r="C89" s="27">
        <v>45707</v>
      </c>
      <c r="D89" t="s">
        <v>25</v>
      </c>
      <c r="E89" t="s">
        <v>374</v>
      </c>
      <c r="F89">
        <v>2422</v>
      </c>
      <c r="G89">
        <v>455</v>
      </c>
      <c r="H89">
        <v>376</v>
      </c>
      <c r="I89">
        <v>23428</v>
      </c>
      <c r="J89">
        <v>46775</v>
      </c>
      <c r="K89">
        <v>259</v>
      </c>
      <c r="L89">
        <v>0.13885094758408742</v>
      </c>
      <c r="M89">
        <v>48</v>
      </c>
      <c r="N89" t="s">
        <v>42</v>
      </c>
      <c r="O89">
        <f t="shared" si="1"/>
        <v>3253</v>
      </c>
    </row>
    <row r="90" spans="1:15">
      <c r="A90" t="s">
        <v>97</v>
      </c>
      <c r="B90" t="s">
        <v>14</v>
      </c>
      <c r="C90" s="27">
        <v>45299</v>
      </c>
      <c r="D90" t="s">
        <v>15</v>
      </c>
      <c r="E90" t="s">
        <v>41</v>
      </c>
      <c r="F90">
        <v>2683</v>
      </c>
      <c r="G90">
        <v>405</v>
      </c>
      <c r="H90">
        <v>223</v>
      </c>
      <c r="I90">
        <v>31233</v>
      </c>
      <c r="J90">
        <v>58106</v>
      </c>
      <c r="K90">
        <v>291</v>
      </c>
      <c r="L90">
        <v>0.10600966926007749</v>
      </c>
      <c r="M90">
        <v>95</v>
      </c>
      <c r="N90" t="s">
        <v>21</v>
      </c>
      <c r="O90">
        <f t="shared" si="1"/>
        <v>3311</v>
      </c>
    </row>
    <row r="91" spans="1:15">
      <c r="A91" t="s">
        <v>98</v>
      </c>
      <c r="B91" t="s">
        <v>31</v>
      </c>
      <c r="C91" s="27">
        <v>45490</v>
      </c>
      <c r="D91" t="s">
        <v>15</v>
      </c>
      <c r="E91" t="s">
        <v>41</v>
      </c>
      <c r="F91">
        <v>3135</v>
      </c>
      <c r="G91">
        <v>110</v>
      </c>
      <c r="H91">
        <v>215</v>
      </c>
      <c r="I91">
        <v>39192</v>
      </c>
      <c r="J91">
        <v>24744</v>
      </c>
      <c r="K91">
        <v>177</v>
      </c>
      <c r="L91">
        <v>8.8283323127168814E-2</v>
      </c>
      <c r="M91">
        <v>141</v>
      </c>
      <c r="N91" t="s">
        <v>21</v>
      </c>
      <c r="O91">
        <f t="shared" si="1"/>
        <v>3460</v>
      </c>
    </row>
    <row r="92" spans="1:15">
      <c r="A92" t="s">
        <v>98</v>
      </c>
      <c r="B92" t="s">
        <v>31</v>
      </c>
      <c r="C92" s="27">
        <v>45490</v>
      </c>
      <c r="D92" t="s">
        <v>15</v>
      </c>
      <c r="E92" t="s">
        <v>41</v>
      </c>
      <c r="F92">
        <v>3135</v>
      </c>
      <c r="G92">
        <v>110</v>
      </c>
      <c r="H92">
        <v>215</v>
      </c>
      <c r="I92">
        <v>39192</v>
      </c>
      <c r="J92">
        <v>24744</v>
      </c>
      <c r="K92">
        <v>177</v>
      </c>
      <c r="L92">
        <v>8.8283323127168814E-2</v>
      </c>
      <c r="M92">
        <v>141</v>
      </c>
      <c r="N92" t="s">
        <v>378</v>
      </c>
      <c r="O92">
        <f t="shared" si="1"/>
        <v>3460</v>
      </c>
    </row>
    <row r="93" spans="1:15">
      <c r="A93" t="s">
        <v>99</v>
      </c>
      <c r="B93" t="s">
        <v>31</v>
      </c>
      <c r="C93" s="27">
        <v>45514</v>
      </c>
      <c r="D93" t="s">
        <v>15</v>
      </c>
      <c r="E93" t="s">
        <v>374</v>
      </c>
      <c r="F93">
        <v>1105</v>
      </c>
      <c r="G93">
        <v>181</v>
      </c>
      <c r="H93">
        <v>55</v>
      </c>
      <c r="I93">
        <v>53581</v>
      </c>
      <c r="J93">
        <v>74048</v>
      </c>
      <c r="K93">
        <v>220</v>
      </c>
      <c r="L93">
        <v>2.50275284149232E-2</v>
      </c>
      <c r="M93">
        <v>300</v>
      </c>
      <c r="N93" t="s">
        <v>21</v>
      </c>
      <c r="O93">
        <f t="shared" si="1"/>
        <v>1341</v>
      </c>
    </row>
    <row r="94" spans="1:15">
      <c r="A94" t="s">
        <v>99</v>
      </c>
      <c r="B94" t="s">
        <v>31</v>
      </c>
      <c r="C94" s="27">
        <v>45514</v>
      </c>
      <c r="D94" t="s">
        <v>15</v>
      </c>
      <c r="E94" t="s">
        <v>374</v>
      </c>
      <c r="F94">
        <v>1105</v>
      </c>
      <c r="G94">
        <v>181</v>
      </c>
      <c r="H94">
        <v>55</v>
      </c>
      <c r="I94">
        <v>53581</v>
      </c>
      <c r="J94">
        <v>74048</v>
      </c>
      <c r="K94">
        <v>220</v>
      </c>
      <c r="L94">
        <v>2.50275284149232E-2</v>
      </c>
      <c r="M94">
        <v>300</v>
      </c>
      <c r="N94" t="s">
        <v>378</v>
      </c>
      <c r="O94">
        <f t="shared" si="1"/>
        <v>1341</v>
      </c>
    </row>
    <row r="95" spans="1:15">
      <c r="A95" t="s">
        <v>100</v>
      </c>
      <c r="B95" t="s">
        <v>31</v>
      </c>
      <c r="C95" s="27">
        <v>45398</v>
      </c>
      <c r="D95" t="s">
        <v>15</v>
      </c>
      <c r="E95" t="s">
        <v>16</v>
      </c>
      <c r="F95">
        <v>4674</v>
      </c>
      <c r="G95">
        <v>326</v>
      </c>
      <c r="H95">
        <v>62</v>
      </c>
      <c r="I95">
        <v>45503</v>
      </c>
      <c r="J95">
        <v>46814</v>
      </c>
      <c r="K95">
        <v>116</v>
      </c>
      <c r="L95">
        <v>0.11124541239039185</v>
      </c>
      <c r="M95">
        <v>79</v>
      </c>
      <c r="N95" t="s">
        <v>21</v>
      </c>
      <c r="O95">
        <f t="shared" si="1"/>
        <v>5062</v>
      </c>
    </row>
    <row r="96" spans="1:15">
      <c r="A96" t="s">
        <v>100</v>
      </c>
      <c r="B96" t="s">
        <v>31</v>
      </c>
      <c r="C96" s="27">
        <v>45398</v>
      </c>
      <c r="D96" t="s">
        <v>15</v>
      </c>
      <c r="E96" t="s">
        <v>16</v>
      </c>
      <c r="F96">
        <v>4674</v>
      </c>
      <c r="G96">
        <v>326</v>
      </c>
      <c r="H96">
        <v>62</v>
      </c>
      <c r="I96">
        <v>45503</v>
      </c>
      <c r="J96">
        <v>46814</v>
      </c>
      <c r="K96">
        <v>116</v>
      </c>
      <c r="L96">
        <v>0.11124541239039185</v>
      </c>
      <c r="M96">
        <v>79</v>
      </c>
      <c r="N96" t="s">
        <v>378</v>
      </c>
      <c r="O96">
        <f t="shared" si="1"/>
        <v>5062</v>
      </c>
    </row>
    <row r="97" spans="1:15">
      <c r="A97" t="s">
        <v>101</v>
      </c>
      <c r="B97" t="s">
        <v>31</v>
      </c>
      <c r="C97" s="27">
        <v>45292</v>
      </c>
      <c r="D97" t="s">
        <v>57</v>
      </c>
      <c r="E97" t="s">
        <v>20</v>
      </c>
      <c r="F97">
        <v>3437</v>
      </c>
      <c r="G97">
        <v>129</v>
      </c>
      <c r="H97">
        <v>359</v>
      </c>
      <c r="I97">
        <v>44558</v>
      </c>
      <c r="J97">
        <v>30854</v>
      </c>
      <c r="K97">
        <v>171</v>
      </c>
      <c r="L97">
        <v>8.8087436599488311E-2</v>
      </c>
      <c r="M97">
        <v>143</v>
      </c>
      <c r="N97" t="s">
        <v>21</v>
      </c>
      <c r="O97">
        <f t="shared" si="1"/>
        <v>3925</v>
      </c>
    </row>
    <row r="98" spans="1:15">
      <c r="A98" t="s">
        <v>101</v>
      </c>
      <c r="B98" t="s">
        <v>31</v>
      </c>
      <c r="C98" s="27">
        <v>45292</v>
      </c>
      <c r="D98" t="s">
        <v>57</v>
      </c>
      <c r="E98" t="s">
        <v>20</v>
      </c>
      <c r="F98">
        <v>3437</v>
      </c>
      <c r="G98">
        <v>129</v>
      </c>
      <c r="H98">
        <v>359</v>
      </c>
      <c r="I98">
        <v>44558</v>
      </c>
      <c r="J98">
        <v>30854</v>
      </c>
      <c r="K98">
        <v>171</v>
      </c>
      <c r="L98">
        <v>8.8087436599488311E-2</v>
      </c>
      <c r="M98">
        <v>143</v>
      </c>
      <c r="N98" t="s">
        <v>45</v>
      </c>
      <c r="O98">
        <f t="shared" si="1"/>
        <v>3925</v>
      </c>
    </row>
    <row r="99" spans="1:15">
      <c r="A99" t="s">
        <v>102</v>
      </c>
      <c r="B99" t="s">
        <v>24</v>
      </c>
      <c r="C99" s="27">
        <v>45599</v>
      </c>
      <c r="D99" t="s">
        <v>25</v>
      </c>
      <c r="E99" t="s">
        <v>376</v>
      </c>
      <c r="F99">
        <v>1959</v>
      </c>
      <c r="G99">
        <v>316</v>
      </c>
      <c r="H99">
        <v>82</v>
      </c>
      <c r="I99">
        <v>54036</v>
      </c>
      <c r="J99">
        <v>69015</v>
      </c>
      <c r="K99">
        <v>182</v>
      </c>
      <c r="L99">
        <v>4.3619068768968837E-2</v>
      </c>
      <c r="M99">
        <v>270</v>
      </c>
      <c r="N99" t="s">
        <v>377</v>
      </c>
      <c r="O99">
        <f t="shared" si="1"/>
        <v>2357</v>
      </c>
    </row>
    <row r="100" spans="1:15">
      <c r="A100" t="s">
        <v>102</v>
      </c>
      <c r="B100" t="s">
        <v>24</v>
      </c>
      <c r="C100" s="27">
        <v>45599</v>
      </c>
      <c r="D100" t="s">
        <v>25</v>
      </c>
      <c r="E100" t="s">
        <v>376</v>
      </c>
      <c r="F100">
        <v>1959</v>
      </c>
      <c r="G100">
        <v>316</v>
      </c>
      <c r="H100">
        <v>82</v>
      </c>
      <c r="I100">
        <v>54036</v>
      </c>
      <c r="J100">
        <v>69015</v>
      </c>
      <c r="K100">
        <v>182</v>
      </c>
      <c r="L100">
        <v>4.3619068768968837E-2</v>
      </c>
      <c r="M100">
        <v>270</v>
      </c>
      <c r="N100" t="s">
        <v>42</v>
      </c>
      <c r="O100">
        <f t="shared" si="1"/>
        <v>2357</v>
      </c>
    </row>
    <row r="101" spans="1:15">
      <c r="A101" t="s">
        <v>103</v>
      </c>
      <c r="B101" t="s">
        <v>24</v>
      </c>
      <c r="C101" s="27">
        <v>45480</v>
      </c>
      <c r="D101" t="s">
        <v>15</v>
      </c>
      <c r="E101" t="s">
        <v>26</v>
      </c>
      <c r="F101">
        <v>1035</v>
      </c>
      <c r="G101">
        <v>137</v>
      </c>
      <c r="H101">
        <v>184</v>
      </c>
      <c r="I101">
        <v>37302</v>
      </c>
      <c r="J101">
        <v>68953</v>
      </c>
      <c r="K101">
        <v>237</v>
      </c>
      <c r="L101">
        <v>3.6351938233874857E-2</v>
      </c>
      <c r="M101">
        <v>282</v>
      </c>
      <c r="N101" t="s">
        <v>45</v>
      </c>
      <c r="O101">
        <f t="shared" si="1"/>
        <v>1356</v>
      </c>
    </row>
    <row r="102" spans="1:15">
      <c r="A102" t="s">
        <v>104</v>
      </c>
      <c r="B102" t="s">
        <v>24</v>
      </c>
      <c r="C102" s="27">
        <v>45679</v>
      </c>
      <c r="D102" t="s">
        <v>25</v>
      </c>
      <c r="E102" t="s">
        <v>26</v>
      </c>
      <c r="F102">
        <v>4478</v>
      </c>
      <c r="G102">
        <v>101</v>
      </c>
      <c r="H102">
        <v>121</v>
      </c>
      <c r="I102">
        <v>51035</v>
      </c>
      <c r="J102">
        <v>58207</v>
      </c>
      <c r="K102">
        <v>205</v>
      </c>
      <c r="L102">
        <v>9.2093661212893113E-2</v>
      </c>
      <c r="M102">
        <v>135</v>
      </c>
      <c r="N102" t="s">
        <v>377</v>
      </c>
      <c r="O102">
        <f t="shared" si="1"/>
        <v>4700</v>
      </c>
    </row>
    <row r="103" spans="1:15">
      <c r="A103" t="s">
        <v>104</v>
      </c>
      <c r="B103" t="s">
        <v>24</v>
      </c>
      <c r="C103" s="27">
        <v>45679</v>
      </c>
      <c r="D103" t="s">
        <v>25</v>
      </c>
      <c r="E103" t="s">
        <v>26</v>
      </c>
      <c r="F103">
        <v>4478</v>
      </c>
      <c r="G103">
        <v>101</v>
      </c>
      <c r="H103">
        <v>121</v>
      </c>
      <c r="I103">
        <v>51035</v>
      </c>
      <c r="J103">
        <v>58207</v>
      </c>
      <c r="K103">
        <v>205</v>
      </c>
      <c r="L103">
        <v>9.2093661212893113E-2</v>
      </c>
      <c r="M103">
        <v>135</v>
      </c>
      <c r="N103" t="s">
        <v>42</v>
      </c>
      <c r="O103">
        <f t="shared" si="1"/>
        <v>4700</v>
      </c>
    </row>
    <row r="104" spans="1:15">
      <c r="A104" t="s">
        <v>105</v>
      </c>
      <c r="B104" t="s">
        <v>31</v>
      </c>
      <c r="C104" s="27">
        <v>45438</v>
      </c>
      <c r="D104" t="s">
        <v>15</v>
      </c>
      <c r="E104" t="s">
        <v>374</v>
      </c>
      <c r="F104">
        <v>1488</v>
      </c>
      <c r="G104">
        <v>327</v>
      </c>
      <c r="H104">
        <v>110</v>
      </c>
      <c r="I104">
        <v>53805</v>
      </c>
      <c r="J104">
        <v>30239</v>
      </c>
      <c r="K104">
        <v>109</v>
      </c>
      <c r="L104">
        <v>3.5777344113000653E-2</v>
      </c>
      <c r="M104">
        <v>285</v>
      </c>
      <c r="N104" t="s">
        <v>21</v>
      </c>
      <c r="O104">
        <f t="shared" si="1"/>
        <v>1925</v>
      </c>
    </row>
    <row r="105" spans="1:15">
      <c r="A105" t="s">
        <v>105</v>
      </c>
      <c r="B105" t="s">
        <v>31</v>
      </c>
      <c r="C105" s="27">
        <v>45438</v>
      </c>
      <c r="D105" t="s">
        <v>15</v>
      </c>
      <c r="E105" t="s">
        <v>374</v>
      </c>
      <c r="F105">
        <v>1488</v>
      </c>
      <c r="G105">
        <v>327</v>
      </c>
      <c r="H105">
        <v>110</v>
      </c>
      <c r="I105">
        <v>53805</v>
      </c>
      <c r="J105">
        <v>30239</v>
      </c>
      <c r="K105">
        <v>109</v>
      </c>
      <c r="L105">
        <v>3.5777344113000653E-2</v>
      </c>
      <c r="M105">
        <v>285</v>
      </c>
      <c r="N105" t="s">
        <v>378</v>
      </c>
      <c r="O105">
        <f t="shared" si="1"/>
        <v>1925</v>
      </c>
    </row>
    <row r="106" spans="1:15">
      <c r="A106" t="s">
        <v>106</v>
      </c>
      <c r="B106" t="s">
        <v>14</v>
      </c>
      <c r="C106" s="27">
        <v>45763</v>
      </c>
      <c r="D106" t="s">
        <v>15</v>
      </c>
      <c r="E106" t="s">
        <v>376</v>
      </c>
      <c r="F106">
        <v>4836</v>
      </c>
      <c r="G106">
        <v>331</v>
      </c>
      <c r="H106">
        <v>140</v>
      </c>
      <c r="I106">
        <v>58792</v>
      </c>
      <c r="J106">
        <v>47711</v>
      </c>
      <c r="K106">
        <v>227</v>
      </c>
      <c r="L106">
        <v>9.0267383317458164E-2</v>
      </c>
      <c r="M106">
        <v>138</v>
      </c>
      <c r="N106" t="s">
        <v>45</v>
      </c>
      <c r="O106">
        <f t="shared" si="1"/>
        <v>5307</v>
      </c>
    </row>
    <row r="107" spans="1:15">
      <c r="A107" t="s">
        <v>106</v>
      </c>
      <c r="B107" t="s">
        <v>14</v>
      </c>
      <c r="C107" s="27">
        <v>45763</v>
      </c>
      <c r="D107" t="s">
        <v>15</v>
      </c>
      <c r="E107" t="s">
        <v>376</v>
      </c>
      <c r="F107">
        <v>4836</v>
      </c>
      <c r="G107">
        <v>331</v>
      </c>
      <c r="H107">
        <v>140</v>
      </c>
      <c r="I107">
        <v>58792</v>
      </c>
      <c r="J107">
        <v>47711</v>
      </c>
      <c r="K107">
        <v>227</v>
      </c>
      <c r="L107">
        <v>9.0267383317458164E-2</v>
      </c>
      <c r="M107">
        <v>138</v>
      </c>
      <c r="N107" t="s">
        <v>42</v>
      </c>
      <c r="O107">
        <f t="shared" si="1"/>
        <v>5307</v>
      </c>
    </row>
    <row r="108" spans="1:15">
      <c r="A108" t="s">
        <v>107</v>
      </c>
      <c r="B108" t="s">
        <v>31</v>
      </c>
      <c r="C108" s="27">
        <v>45384</v>
      </c>
      <c r="D108" t="s">
        <v>57</v>
      </c>
      <c r="E108" t="s">
        <v>51</v>
      </c>
      <c r="F108">
        <v>4563</v>
      </c>
      <c r="G108">
        <v>488</v>
      </c>
      <c r="H108">
        <v>356</v>
      </c>
      <c r="I108">
        <v>30619</v>
      </c>
      <c r="J108">
        <v>23328</v>
      </c>
      <c r="K108">
        <v>267</v>
      </c>
      <c r="L108">
        <v>0.17658969920637513</v>
      </c>
      <c r="M108">
        <v>14</v>
      </c>
      <c r="N108" t="s">
        <v>21</v>
      </c>
      <c r="O108">
        <f t="shared" si="1"/>
        <v>5407</v>
      </c>
    </row>
    <row r="109" spans="1:15">
      <c r="A109" t="s">
        <v>107</v>
      </c>
      <c r="B109" t="s">
        <v>31</v>
      </c>
      <c r="C109" s="27">
        <v>45384</v>
      </c>
      <c r="D109" t="s">
        <v>57</v>
      </c>
      <c r="E109" t="s">
        <v>51</v>
      </c>
      <c r="F109">
        <v>4563</v>
      </c>
      <c r="G109">
        <v>488</v>
      </c>
      <c r="H109">
        <v>356</v>
      </c>
      <c r="I109">
        <v>30619</v>
      </c>
      <c r="J109">
        <v>23328</v>
      </c>
      <c r="K109">
        <v>267</v>
      </c>
      <c r="L109">
        <v>0.17658969920637513</v>
      </c>
      <c r="M109">
        <v>14</v>
      </c>
      <c r="N109" t="s">
        <v>45</v>
      </c>
      <c r="O109">
        <f t="shared" si="1"/>
        <v>5407</v>
      </c>
    </row>
    <row r="110" spans="1:15">
      <c r="A110" t="s">
        <v>108</v>
      </c>
      <c r="B110" t="s">
        <v>24</v>
      </c>
      <c r="C110" s="27">
        <v>45379</v>
      </c>
      <c r="D110" t="s">
        <v>15</v>
      </c>
      <c r="E110" t="s">
        <v>375</v>
      </c>
      <c r="F110">
        <v>3276</v>
      </c>
      <c r="G110">
        <v>421</v>
      </c>
      <c r="H110">
        <v>114</v>
      </c>
      <c r="I110">
        <v>20580</v>
      </c>
      <c r="J110">
        <v>30324</v>
      </c>
      <c r="K110">
        <v>221</v>
      </c>
      <c r="L110">
        <v>0.18517978620019437</v>
      </c>
      <c r="M110">
        <v>10</v>
      </c>
      <c r="N110" t="s">
        <v>45</v>
      </c>
      <c r="O110">
        <f t="shared" si="1"/>
        <v>3811</v>
      </c>
    </row>
    <row r="111" spans="1:15">
      <c r="A111" t="s">
        <v>109</v>
      </c>
      <c r="B111" t="s">
        <v>24</v>
      </c>
      <c r="C111" s="27">
        <v>45643</v>
      </c>
      <c r="D111" t="s">
        <v>25</v>
      </c>
      <c r="E111" t="s">
        <v>375</v>
      </c>
      <c r="F111">
        <v>1316</v>
      </c>
      <c r="G111">
        <v>472</v>
      </c>
      <c r="H111">
        <v>286</v>
      </c>
      <c r="I111">
        <v>44692</v>
      </c>
      <c r="J111">
        <v>53343</v>
      </c>
      <c r="K111">
        <v>227</v>
      </c>
      <c r="L111">
        <v>4.6406515707509172E-2</v>
      </c>
      <c r="M111">
        <v>263</v>
      </c>
      <c r="N111" t="s">
        <v>21</v>
      </c>
      <c r="O111">
        <f t="shared" si="1"/>
        <v>2074</v>
      </c>
    </row>
    <row r="112" spans="1:15">
      <c r="A112" t="s">
        <v>109</v>
      </c>
      <c r="B112" t="s">
        <v>24</v>
      </c>
      <c r="C112" s="27">
        <v>45643</v>
      </c>
      <c r="D112" t="s">
        <v>25</v>
      </c>
      <c r="E112" t="s">
        <v>375</v>
      </c>
      <c r="F112">
        <v>1316</v>
      </c>
      <c r="G112">
        <v>472</v>
      </c>
      <c r="H112">
        <v>286</v>
      </c>
      <c r="I112">
        <v>44692</v>
      </c>
      <c r="J112">
        <v>53343</v>
      </c>
      <c r="K112">
        <v>227</v>
      </c>
      <c r="L112">
        <v>4.6406515707509172E-2</v>
      </c>
      <c r="M112">
        <v>263</v>
      </c>
      <c r="N112" t="s">
        <v>377</v>
      </c>
      <c r="O112">
        <f t="shared" si="1"/>
        <v>2074</v>
      </c>
    </row>
    <row r="113" spans="1:15">
      <c r="A113" t="s">
        <v>110</v>
      </c>
      <c r="B113" t="s">
        <v>24</v>
      </c>
      <c r="C113" s="27">
        <v>45662</v>
      </c>
      <c r="D113" t="s">
        <v>15</v>
      </c>
      <c r="E113" t="s">
        <v>376</v>
      </c>
      <c r="F113">
        <v>4811</v>
      </c>
      <c r="G113">
        <v>473</v>
      </c>
      <c r="H113">
        <v>254</v>
      </c>
      <c r="I113">
        <v>51964</v>
      </c>
      <c r="J113">
        <v>68795</v>
      </c>
      <c r="K113">
        <v>107</v>
      </c>
      <c r="L113">
        <v>0.10657378184897237</v>
      </c>
      <c r="M113">
        <v>93</v>
      </c>
      <c r="N113" t="s">
        <v>42</v>
      </c>
      <c r="O113">
        <f t="shared" si="1"/>
        <v>5538</v>
      </c>
    </row>
    <row r="114" spans="1:15">
      <c r="A114" t="s">
        <v>111</v>
      </c>
      <c r="B114" t="s">
        <v>24</v>
      </c>
      <c r="C114" s="27">
        <v>45302</v>
      </c>
      <c r="D114" t="s">
        <v>15</v>
      </c>
      <c r="E114" t="s">
        <v>373</v>
      </c>
      <c r="F114">
        <v>4218</v>
      </c>
      <c r="G114">
        <v>247</v>
      </c>
      <c r="H114">
        <v>183</v>
      </c>
      <c r="I114">
        <v>28914</v>
      </c>
      <c r="J114">
        <v>18310</v>
      </c>
      <c r="K114">
        <v>135</v>
      </c>
      <c r="L114">
        <v>0.1607525766064882</v>
      </c>
      <c r="M114">
        <v>28</v>
      </c>
      <c r="N114" t="s">
        <v>45</v>
      </c>
      <c r="O114">
        <f t="shared" si="1"/>
        <v>4648</v>
      </c>
    </row>
    <row r="115" spans="1:15">
      <c r="A115" t="s">
        <v>112</v>
      </c>
      <c r="B115" t="s">
        <v>14</v>
      </c>
      <c r="C115" s="27">
        <v>45576</v>
      </c>
      <c r="D115" t="s">
        <v>15</v>
      </c>
      <c r="E115" t="s">
        <v>374</v>
      </c>
      <c r="F115">
        <v>1360</v>
      </c>
      <c r="G115">
        <v>249</v>
      </c>
      <c r="H115">
        <v>52</v>
      </c>
      <c r="I115">
        <v>20368</v>
      </c>
      <c r="J115">
        <v>42152</v>
      </c>
      <c r="K115">
        <v>193</v>
      </c>
      <c r="L115">
        <v>8.1549489395129612E-2</v>
      </c>
      <c r="M115">
        <v>171</v>
      </c>
      <c r="N115" t="s">
        <v>21</v>
      </c>
      <c r="O115">
        <f t="shared" si="1"/>
        <v>1661</v>
      </c>
    </row>
    <row r="116" spans="1:15">
      <c r="A116" t="s">
        <v>113</v>
      </c>
      <c r="B116" t="s">
        <v>31</v>
      </c>
      <c r="C116" s="27">
        <v>45783</v>
      </c>
      <c r="D116" t="s">
        <v>57</v>
      </c>
      <c r="E116" t="s">
        <v>16</v>
      </c>
      <c r="F116">
        <v>1085</v>
      </c>
      <c r="G116">
        <v>496</v>
      </c>
      <c r="H116">
        <v>320</v>
      </c>
      <c r="I116">
        <v>36528</v>
      </c>
      <c r="J116">
        <v>38599</v>
      </c>
      <c r="K116">
        <v>270</v>
      </c>
      <c r="L116">
        <v>5.2042268944371438E-2</v>
      </c>
      <c r="M116">
        <v>247</v>
      </c>
      <c r="N116" t="s">
        <v>21</v>
      </c>
      <c r="O116">
        <f t="shared" si="1"/>
        <v>1901</v>
      </c>
    </row>
    <row r="117" spans="1:15">
      <c r="A117" t="s">
        <v>113</v>
      </c>
      <c r="B117" t="s">
        <v>31</v>
      </c>
      <c r="C117" s="27">
        <v>45783</v>
      </c>
      <c r="D117" t="s">
        <v>57</v>
      </c>
      <c r="E117" t="s">
        <v>16</v>
      </c>
      <c r="F117">
        <v>1085</v>
      </c>
      <c r="G117">
        <v>496</v>
      </c>
      <c r="H117">
        <v>320</v>
      </c>
      <c r="I117">
        <v>36528</v>
      </c>
      <c r="J117">
        <v>38599</v>
      </c>
      <c r="K117">
        <v>270</v>
      </c>
      <c r="L117">
        <v>5.2042268944371438E-2</v>
      </c>
      <c r="M117">
        <v>247</v>
      </c>
      <c r="N117" t="s">
        <v>45</v>
      </c>
      <c r="O117">
        <f t="shared" si="1"/>
        <v>1901</v>
      </c>
    </row>
    <row r="118" spans="1:15">
      <c r="A118" t="s">
        <v>114</v>
      </c>
      <c r="B118" t="s">
        <v>24</v>
      </c>
      <c r="C118" s="27">
        <v>45431</v>
      </c>
      <c r="D118" t="s">
        <v>25</v>
      </c>
      <c r="E118" t="s">
        <v>37</v>
      </c>
      <c r="F118">
        <v>1763</v>
      </c>
      <c r="G118">
        <v>206</v>
      </c>
      <c r="H118">
        <v>187</v>
      </c>
      <c r="I118">
        <v>53342</v>
      </c>
      <c r="J118">
        <v>25095</v>
      </c>
      <c r="K118">
        <v>88</v>
      </c>
      <c r="L118">
        <v>4.0418432004799221E-2</v>
      </c>
      <c r="M118">
        <v>274</v>
      </c>
      <c r="N118" t="s">
        <v>21</v>
      </c>
      <c r="O118">
        <f t="shared" si="1"/>
        <v>2156</v>
      </c>
    </row>
    <row r="119" spans="1:15">
      <c r="A119" t="s">
        <v>114</v>
      </c>
      <c r="B119" t="s">
        <v>24</v>
      </c>
      <c r="C119" s="27">
        <v>45431</v>
      </c>
      <c r="D119" t="s">
        <v>25</v>
      </c>
      <c r="E119" t="s">
        <v>37</v>
      </c>
      <c r="F119">
        <v>1763</v>
      </c>
      <c r="G119">
        <v>206</v>
      </c>
      <c r="H119">
        <v>187</v>
      </c>
      <c r="I119">
        <v>53342</v>
      </c>
      <c r="J119">
        <v>25095</v>
      </c>
      <c r="K119">
        <v>88</v>
      </c>
      <c r="L119">
        <v>4.0418432004799221E-2</v>
      </c>
      <c r="M119">
        <v>274</v>
      </c>
      <c r="N119" t="s">
        <v>377</v>
      </c>
      <c r="O119">
        <f t="shared" si="1"/>
        <v>2156</v>
      </c>
    </row>
    <row r="120" spans="1:15">
      <c r="A120" t="s">
        <v>115</v>
      </c>
      <c r="B120" t="s">
        <v>24</v>
      </c>
      <c r="C120" s="27">
        <v>45313</v>
      </c>
      <c r="D120" t="s">
        <v>25</v>
      </c>
      <c r="E120" t="s">
        <v>374</v>
      </c>
      <c r="F120">
        <v>1554</v>
      </c>
      <c r="G120">
        <v>455</v>
      </c>
      <c r="H120">
        <v>158</v>
      </c>
      <c r="I120">
        <v>41947</v>
      </c>
      <c r="J120">
        <v>48578</v>
      </c>
      <c r="K120">
        <v>101</v>
      </c>
      <c r="L120">
        <v>5.1660428636136076E-2</v>
      </c>
      <c r="M120">
        <v>252</v>
      </c>
      <c r="N120" t="s">
        <v>45</v>
      </c>
      <c r="O120">
        <f t="shared" si="1"/>
        <v>2167</v>
      </c>
    </row>
    <row r="121" spans="1:15">
      <c r="A121" t="s">
        <v>115</v>
      </c>
      <c r="B121" t="s">
        <v>24</v>
      </c>
      <c r="C121" s="27">
        <v>45313</v>
      </c>
      <c r="D121" t="s">
        <v>25</v>
      </c>
      <c r="E121" t="s">
        <v>374</v>
      </c>
      <c r="F121">
        <v>1554</v>
      </c>
      <c r="G121">
        <v>455</v>
      </c>
      <c r="H121">
        <v>158</v>
      </c>
      <c r="I121">
        <v>41947</v>
      </c>
      <c r="J121">
        <v>48578</v>
      </c>
      <c r="K121">
        <v>101</v>
      </c>
      <c r="L121">
        <v>5.1660428636136076E-2</v>
      </c>
      <c r="M121">
        <v>252</v>
      </c>
      <c r="N121" t="s">
        <v>42</v>
      </c>
      <c r="O121">
        <f t="shared" si="1"/>
        <v>2167</v>
      </c>
    </row>
    <row r="122" spans="1:15">
      <c r="A122" t="s">
        <v>116</v>
      </c>
      <c r="B122" t="s">
        <v>14</v>
      </c>
      <c r="C122" s="27">
        <v>45487</v>
      </c>
      <c r="D122" t="s">
        <v>15</v>
      </c>
      <c r="E122" t="s">
        <v>376</v>
      </c>
      <c r="F122">
        <v>2464</v>
      </c>
      <c r="G122">
        <v>401</v>
      </c>
      <c r="H122">
        <v>78</v>
      </c>
      <c r="I122">
        <v>38665</v>
      </c>
      <c r="J122">
        <v>73593</v>
      </c>
      <c r="K122">
        <v>207</v>
      </c>
      <c r="L122">
        <v>7.611534979956032E-2</v>
      </c>
      <c r="M122">
        <v>186</v>
      </c>
      <c r="N122" t="s">
        <v>21</v>
      </c>
      <c r="O122">
        <f t="shared" si="1"/>
        <v>2943</v>
      </c>
    </row>
    <row r="123" spans="1:15">
      <c r="A123" t="s">
        <v>117</v>
      </c>
      <c r="B123" t="s">
        <v>24</v>
      </c>
      <c r="C123" s="27">
        <v>45805</v>
      </c>
      <c r="D123" t="s">
        <v>15</v>
      </c>
      <c r="E123" t="s">
        <v>374</v>
      </c>
      <c r="F123">
        <v>2418</v>
      </c>
      <c r="G123">
        <v>161</v>
      </c>
      <c r="H123">
        <v>360</v>
      </c>
      <c r="I123">
        <v>30589</v>
      </c>
      <c r="J123">
        <v>41383</v>
      </c>
      <c r="K123">
        <v>88</v>
      </c>
      <c r="L123">
        <v>9.6080290300434801E-2</v>
      </c>
      <c r="M123">
        <v>118</v>
      </c>
      <c r="N123" t="s">
        <v>42</v>
      </c>
      <c r="O123">
        <f t="shared" si="1"/>
        <v>2939</v>
      </c>
    </row>
    <row r="124" spans="1:15">
      <c r="A124" t="s">
        <v>118</v>
      </c>
      <c r="B124" t="s">
        <v>24</v>
      </c>
      <c r="C124" s="27">
        <v>45678</v>
      </c>
      <c r="D124" t="s">
        <v>25</v>
      </c>
      <c r="E124" t="s">
        <v>16</v>
      </c>
      <c r="F124">
        <v>2494</v>
      </c>
      <c r="G124">
        <v>494</v>
      </c>
      <c r="H124">
        <v>55</v>
      </c>
      <c r="I124">
        <v>22580</v>
      </c>
      <c r="J124">
        <v>22214</v>
      </c>
      <c r="K124">
        <v>109</v>
      </c>
      <c r="L124">
        <v>0.13476527900797167</v>
      </c>
      <c r="M124">
        <v>51</v>
      </c>
      <c r="N124" t="s">
        <v>377</v>
      </c>
      <c r="O124">
        <f t="shared" si="1"/>
        <v>3043</v>
      </c>
    </row>
    <row r="125" spans="1:15">
      <c r="A125" t="s">
        <v>118</v>
      </c>
      <c r="B125" t="s">
        <v>24</v>
      </c>
      <c r="C125" s="27">
        <v>45678</v>
      </c>
      <c r="D125" t="s">
        <v>25</v>
      </c>
      <c r="E125" t="s">
        <v>16</v>
      </c>
      <c r="F125">
        <v>2494</v>
      </c>
      <c r="G125">
        <v>494</v>
      </c>
      <c r="H125">
        <v>55</v>
      </c>
      <c r="I125">
        <v>22580</v>
      </c>
      <c r="J125">
        <v>22214</v>
      </c>
      <c r="K125">
        <v>109</v>
      </c>
      <c r="L125">
        <v>0.13476527900797167</v>
      </c>
      <c r="M125">
        <v>51</v>
      </c>
      <c r="N125" t="s">
        <v>42</v>
      </c>
      <c r="O125">
        <f t="shared" si="1"/>
        <v>3043</v>
      </c>
    </row>
    <row r="126" spans="1:15">
      <c r="A126" t="s">
        <v>119</v>
      </c>
      <c r="B126" t="s">
        <v>31</v>
      </c>
      <c r="C126" s="27">
        <v>45304</v>
      </c>
      <c r="D126" t="s">
        <v>57</v>
      </c>
      <c r="E126" t="s">
        <v>26</v>
      </c>
      <c r="F126">
        <v>4781</v>
      </c>
      <c r="G126">
        <v>191</v>
      </c>
      <c r="H126">
        <v>122</v>
      </c>
      <c r="I126">
        <v>35535</v>
      </c>
      <c r="J126">
        <v>50777</v>
      </c>
      <c r="K126">
        <v>128</v>
      </c>
      <c r="L126">
        <v>0.14335162515829464</v>
      </c>
      <c r="M126">
        <v>44</v>
      </c>
      <c r="N126" t="s">
        <v>21</v>
      </c>
      <c r="O126">
        <f t="shared" si="1"/>
        <v>5094</v>
      </c>
    </row>
    <row r="127" spans="1:15">
      <c r="A127" t="s">
        <v>119</v>
      </c>
      <c r="B127" t="s">
        <v>31</v>
      </c>
      <c r="C127" s="27">
        <v>45304</v>
      </c>
      <c r="D127" t="s">
        <v>57</v>
      </c>
      <c r="E127" t="s">
        <v>26</v>
      </c>
      <c r="F127">
        <v>4781</v>
      </c>
      <c r="G127">
        <v>191</v>
      </c>
      <c r="H127">
        <v>122</v>
      </c>
      <c r="I127">
        <v>35535</v>
      </c>
      <c r="J127">
        <v>50777</v>
      </c>
      <c r="K127">
        <v>128</v>
      </c>
      <c r="L127">
        <v>0.14335162515829464</v>
      </c>
      <c r="M127">
        <v>44</v>
      </c>
      <c r="N127" t="s">
        <v>45</v>
      </c>
      <c r="O127">
        <f t="shared" si="1"/>
        <v>5094</v>
      </c>
    </row>
    <row r="128" spans="1:15">
      <c r="A128" t="s">
        <v>120</v>
      </c>
      <c r="B128" t="s">
        <v>14</v>
      </c>
      <c r="C128" s="27">
        <v>45825</v>
      </c>
      <c r="D128" t="s">
        <v>15</v>
      </c>
      <c r="E128" t="s">
        <v>375</v>
      </c>
      <c r="F128">
        <v>2284</v>
      </c>
      <c r="G128">
        <v>187</v>
      </c>
      <c r="H128">
        <v>260</v>
      </c>
      <c r="I128">
        <v>37400</v>
      </c>
      <c r="J128">
        <v>65014</v>
      </c>
      <c r="K128">
        <v>157</v>
      </c>
      <c r="L128">
        <v>7.3021390374331557E-2</v>
      </c>
      <c r="M128">
        <v>194</v>
      </c>
      <c r="N128" t="s">
        <v>45</v>
      </c>
      <c r="O128">
        <f t="shared" si="1"/>
        <v>2731</v>
      </c>
    </row>
    <row r="129" spans="1:15">
      <c r="A129" t="s">
        <v>120</v>
      </c>
      <c r="B129" t="s">
        <v>14</v>
      </c>
      <c r="C129" s="27">
        <v>45825</v>
      </c>
      <c r="D129" t="s">
        <v>15</v>
      </c>
      <c r="E129" t="s">
        <v>375</v>
      </c>
      <c r="F129">
        <v>2284</v>
      </c>
      <c r="G129">
        <v>187</v>
      </c>
      <c r="H129">
        <v>260</v>
      </c>
      <c r="I129">
        <v>37400</v>
      </c>
      <c r="J129">
        <v>65014</v>
      </c>
      <c r="K129">
        <v>157</v>
      </c>
      <c r="L129">
        <v>7.3021390374331557E-2</v>
      </c>
      <c r="M129">
        <v>194</v>
      </c>
      <c r="N129" t="s">
        <v>42</v>
      </c>
      <c r="O129">
        <f t="shared" si="1"/>
        <v>2731</v>
      </c>
    </row>
    <row r="130" spans="1:15">
      <c r="A130" t="s">
        <v>121</v>
      </c>
      <c r="B130" t="s">
        <v>24</v>
      </c>
      <c r="C130" s="27">
        <v>45723</v>
      </c>
      <c r="D130" t="s">
        <v>15</v>
      </c>
      <c r="E130" t="s">
        <v>37</v>
      </c>
      <c r="F130">
        <v>4234</v>
      </c>
      <c r="G130">
        <v>486</v>
      </c>
      <c r="H130">
        <v>276</v>
      </c>
      <c r="I130">
        <v>56623</v>
      </c>
      <c r="J130">
        <v>41343</v>
      </c>
      <c r="K130">
        <v>184</v>
      </c>
      <c r="L130">
        <v>8.8232696960599044E-2</v>
      </c>
      <c r="M130">
        <v>142</v>
      </c>
      <c r="N130" t="s">
        <v>45</v>
      </c>
      <c r="O130">
        <f t="shared" ref="O130:O193" si="2" xml:space="preserve"> F130 + G130+H130</f>
        <v>4996</v>
      </c>
    </row>
    <row r="131" spans="1:15">
      <c r="A131" t="s">
        <v>122</v>
      </c>
      <c r="B131" t="s">
        <v>14</v>
      </c>
      <c r="C131" s="27">
        <v>45530</v>
      </c>
      <c r="D131" t="s">
        <v>15</v>
      </c>
      <c r="E131" t="s">
        <v>51</v>
      </c>
      <c r="F131">
        <v>2102</v>
      </c>
      <c r="G131">
        <v>181</v>
      </c>
      <c r="H131">
        <v>306</v>
      </c>
      <c r="I131">
        <v>43650</v>
      </c>
      <c r="J131">
        <v>50079</v>
      </c>
      <c r="K131">
        <v>182</v>
      </c>
      <c r="L131">
        <v>5.9312714776632303E-2</v>
      </c>
      <c r="M131">
        <v>226</v>
      </c>
      <c r="N131" t="s">
        <v>21</v>
      </c>
      <c r="O131">
        <f t="shared" si="2"/>
        <v>2589</v>
      </c>
    </row>
    <row r="132" spans="1:15">
      <c r="A132" t="s">
        <v>123</v>
      </c>
      <c r="B132" t="s">
        <v>24</v>
      </c>
      <c r="C132" s="27">
        <v>45660</v>
      </c>
      <c r="D132" t="s">
        <v>25</v>
      </c>
      <c r="E132" t="s">
        <v>37</v>
      </c>
      <c r="F132">
        <v>4845</v>
      </c>
      <c r="G132">
        <v>158</v>
      </c>
      <c r="H132">
        <v>84</v>
      </c>
      <c r="I132">
        <v>34578</v>
      </c>
      <c r="J132">
        <v>51480</v>
      </c>
      <c r="K132">
        <v>180</v>
      </c>
      <c r="L132">
        <v>0.1471166637746544</v>
      </c>
      <c r="M132">
        <v>38</v>
      </c>
      <c r="N132" t="s">
        <v>45</v>
      </c>
      <c r="O132">
        <f t="shared" si="2"/>
        <v>5087</v>
      </c>
    </row>
    <row r="133" spans="1:15">
      <c r="A133" t="s">
        <v>123</v>
      </c>
      <c r="B133" t="s">
        <v>24</v>
      </c>
      <c r="C133" s="27">
        <v>45660</v>
      </c>
      <c r="D133" t="s">
        <v>25</v>
      </c>
      <c r="E133" t="s">
        <v>37</v>
      </c>
      <c r="F133">
        <v>4845</v>
      </c>
      <c r="G133">
        <v>158</v>
      </c>
      <c r="H133">
        <v>84</v>
      </c>
      <c r="I133">
        <v>34578</v>
      </c>
      <c r="J133">
        <v>51480</v>
      </c>
      <c r="K133">
        <v>180</v>
      </c>
      <c r="L133">
        <v>0.1471166637746544</v>
      </c>
      <c r="M133">
        <v>38</v>
      </c>
      <c r="N133" t="s">
        <v>42</v>
      </c>
      <c r="O133">
        <f t="shared" si="2"/>
        <v>5087</v>
      </c>
    </row>
    <row r="134" spans="1:15">
      <c r="A134" t="s">
        <v>124</v>
      </c>
      <c r="B134" t="s">
        <v>24</v>
      </c>
      <c r="C134" s="27">
        <v>45507</v>
      </c>
      <c r="D134" t="s">
        <v>15</v>
      </c>
      <c r="E134" t="s">
        <v>51</v>
      </c>
      <c r="F134">
        <v>4247</v>
      </c>
      <c r="G134">
        <v>390</v>
      </c>
      <c r="H134">
        <v>213</v>
      </c>
      <c r="I134">
        <v>29785</v>
      </c>
      <c r="J134">
        <v>57768</v>
      </c>
      <c r="K134">
        <v>122</v>
      </c>
      <c r="L134">
        <v>0.16283364109451065</v>
      </c>
      <c r="M134">
        <v>24</v>
      </c>
      <c r="N134" t="s">
        <v>42</v>
      </c>
      <c r="O134">
        <f t="shared" si="2"/>
        <v>4850</v>
      </c>
    </row>
    <row r="135" spans="1:15">
      <c r="A135" t="s">
        <v>125</v>
      </c>
      <c r="B135" t="s">
        <v>14</v>
      </c>
      <c r="C135" s="27">
        <v>45522</v>
      </c>
      <c r="D135" t="s">
        <v>15</v>
      </c>
      <c r="E135" t="s">
        <v>20</v>
      </c>
      <c r="F135">
        <v>2965</v>
      </c>
      <c r="G135">
        <v>328</v>
      </c>
      <c r="H135">
        <v>171</v>
      </c>
      <c r="I135">
        <v>57685</v>
      </c>
      <c r="J135">
        <v>67536</v>
      </c>
      <c r="K135">
        <v>264</v>
      </c>
      <c r="L135">
        <v>6.0050273034584378E-2</v>
      </c>
      <c r="M135">
        <v>223</v>
      </c>
      <c r="N135" t="s">
        <v>45</v>
      </c>
      <c r="O135">
        <f t="shared" si="2"/>
        <v>3464</v>
      </c>
    </row>
    <row r="136" spans="1:15">
      <c r="A136" t="s">
        <v>125</v>
      </c>
      <c r="B136" t="s">
        <v>14</v>
      </c>
      <c r="C136" s="27">
        <v>45522</v>
      </c>
      <c r="D136" t="s">
        <v>15</v>
      </c>
      <c r="E136" t="s">
        <v>20</v>
      </c>
      <c r="F136">
        <v>2965</v>
      </c>
      <c r="G136">
        <v>328</v>
      </c>
      <c r="H136">
        <v>171</v>
      </c>
      <c r="I136">
        <v>57685</v>
      </c>
      <c r="J136">
        <v>67536</v>
      </c>
      <c r="K136">
        <v>264</v>
      </c>
      <c r="L136">
        <v>6.0050273034584378E-2</v>
      </c>
      <c r="M136">
        <v>223</v>
      </c>
      <c r="N136" t="s">
        <v>42</v>
      </c>
      <c r="O136">
        <f t="shared" si="2"/>
        <v>3464</v>
      </c>
    </row>
    <row r="137" spans="1:15">
      <c r="A137" t="s">
        <v>126</v>
      </c>
      <c r="B137" t="s">
        <v>24</v>
      </c>
      <c r="C137" s="27">
        <v>45791</v>
      </c>
      <c r="D137" t="s">
        <v>25</v>
      </c>
      <c r="E137" t="s">
        <v>376</v>
      </c>
      <c r="F137">
        <v>1371</v>
      </c>
      <c r="G137">
        <v>139</v>
      </c>
      <c r="H137">
        <v>96</v>
      </c>
      <c r="I137">
        <v>36140</v>
      </c>
      <c r="J137">
        <v>39395</v>
      </c>
      <c r="K137">
        <v>169</v>
      </c>
      <c r="L137">
        <v>4.4438295517432211E-2</v>
      </c>
      <c r="M137">
        <v>267</v>
      </c>
      <c r="N137" t="s">
        <v>45</v>
      </c>
      <c r="O137">
        <f t="shared" si="2"/>
        <v>1606</v>
      </c>
    </row>
    <row r="138" spans="1:15">
      <c r="A138" t="s">
        <v>126</v>
      </c>
      <c r="B138" t="s">
        <v>24</v>
      </c>
      <c r="C138" s="27">
        <v>45791</v>
      </c>
      <c r="D138" t="s">
        <v>25</v>
      </c>
      <c r="E138" t="s">
        <v>376</v>
      </c>
      <c r="F138">
        <v>1371</v>
      </c>
      <c r="G138">
        <v>139</v>
      </c>
      <c r="H138">
        <v>96</v>
      </c>
      <c r="I138">
        <v>36140</v>
      </c>
      <c r="J138">
        <v>39395</v>
      </c>
      <c r="K138">
        <v>169</v>
      </c>
      <c r="L138">
        <v>4.4438295517432211E-2</v>
      </c>
      <c r="M138">
        <v>267</v>
      </c>
      <c r="N138" t="s">
        <v>42</v>
      </c>
      <c r="O138">
        <f t="shared" si="2"/>
        <v>1606</v>
      </c>
    </row>
    <row r="139" spans="1:15">
      <c r="A139" t="s">
        <v>127</v>
      </c>
      <c r="B139" t="s">
        <v>24</v>
      </c>
      <c r="C139" s="27">
        <v>45405</v>
      </c>
      <c r="D139" t="s">
        <v>25</v>
      </c>
      <c r="E139" t="s">
        <v>16</v>
      </c>
      <c r="F139">
        <v>2683</v>
      </c>
      <c r="G139">
        <v>496</v>
      </c>
      <c r="H139">
        <v>89</v>
      </c>
      <c r="I139">
        <v>53435</v>
      </c>
      <c r="J139">
        <v>30334</v>
      </c>
      <c r="K139">
        <v>160</v>
      </c>
      <c r="L139">
        <v>6.1158416768035934E-2</v>
      </c>
      <c r="M139">
        <v>220</v>
      </c>
      <c r="N139" t="s">
        <v>45</v>
      </c>
      <c r="O139">
        <f t="shared" si="2"/>
        <v>3268</v>
      </c>
    </row>
    <row r="140" spans="1:15">
      <c r="A140" t="s">
        <v>127</v>
      </c>
      <c r="B140" t="s">
        <v>24</v>
      </c>
      <c r="C140" s="27">
        <v>45405</v>
      </c>
      <c r="D140" t="s">
        <v>25</v>
      </c>
      <c r="E140" t="s">
        <v>16</v>
      </c>
      <c r="F140">
        <v>2683</v>
      </c>
      <c r="G140">
        <v>496</v>
      </c>
      <c r="H140">
        <v>89</v>
      </c>
      <c r="I140">
        <v>53435</v>
      </c>
      <c r="J140">
        <v>30334</v>
      </c>
      <c r="K140">
        <v>160</v>
      </c>
      <c r="L140">
        <v>6.1158416768035934E-2</v>
      </c>
      <c r="M140">
        <v>220</v>
      </c>
      <c r="N140" t="s">
        <v>42</v>
      </c>
      <c r="O140">
        <f t="shared" si="2"/>
        <v>3268</v>
      </c>
    </row>
    <row r="141" spans="1:15">
      <c r="A141" t="s">
        <v>128</v>
      </c>
      <c r="B141" t="s">
        <v>24</v>
      </c>
      <c r="C141" s="27">
        <v>45705</v>
      </c>
      <c r="D141" t="s">
        <v>25</v>
      </c>
      <c r="E141" t="s">
        <v>373</v>
      </c>
      <c r="F141">
        <v>4796</v>
      </c>
      <c r="G141">
        <v>427</v>
      </c>
      <c r="H141">
        <v>339</v>
      </c>
      <c r="I141">
        <v>30752</v>
      </c>
      <c r="J141">
        <v>33870</v>
      </c>
      <c r="K141">
        <v>298</v>
      </c>
      <c r="L141">
        <v>0.18086628511966701</v>
      </c>
      <c r="M141">
        <v>11</v>
      </c>
      <c r="N141" t="s">
        <v>45</v>
      </c>
      <c r="O141">
        <f t="shared" si="2"/>
        <v>5562</v>
      </c>
    </row>
    <row r="142" spans="1:15">
      <c r="A142" t="s">
        <v>128</v>
      </c>
      <c r="B142" t="s">
        <v>24</v>
      </c>
      <c r="C142" s="27">
        <v>45705</v>
      </c>
      <c r="D142" t="s">
        <v>25</v>
      </c>
      <c r="E142" t="s">
        <v>373</v>
      </c>
      <c r="F142">
        <v>4796</v>
      </c>
      <c r="G142">
        <v>427</v>
      </c>
      <c r="H142">
        <v>339</v>
      </c>
      <c r="I142">
        <v>30752</v>
      </c>
      <c r="J142">
        <v>33870</v>
      </c>
      <c r="K142">
        <v>298</v>
      </c>
      <c r="L142">
        <v>0.18086628511966701</v>
      </c>
      <c r="M142">
        <v>11</v>
      </c>
      <c r="N142" t="s">
        <v>42</v>
      </c>
      <c r="O142">
        <f t="shared" si="2"/>
        <v>5562</v>
      </c>
    </row>
    <row r="143" spans="1:15">
      <c r="A143" t="s">
        <v>129</v>
      </c>
      <c r="B143" t="s">
        <v>14</v>
      </c>
      <c r="C143" s="27">
        <v>45630</v>
      </c>
      <c r="D143" t="s">
        <v>15</v>
      </c>
      <c r="E143" t="s">
        <v>376</v>
      </c>
      <c r="F143">
        <v>2601</v>
      </c>
      <c r="G143">
        <v>336</v>
      </c>
      <c r="H143">
        <v>260</v>
      </c>
      <c r="I143">
        <v>32368</v>
      </c>
      <c r="J143">
        <v>49028</v>
      </c>
      <c r="K143">
        <v>120</v>
      </c>
      <c r="L143">
        <v>9.8770390509144837E-2</v>
      </c>
      <c r="M143">
        <v>109</v>
      </c>
      <c r="N143" t="s">
        <v>45</v>
      </c>
      <c r="O143">
        <f t="shared" si="2"/>
        <v>3197</v>
      </c>
    </row>
    <row r="144" spans="1:15">
      <c r="A144" t="s">
        <v>129</v>
      </c>
      <c r="B144" t="s">
        <v>14</v>
      </c>
      <c r="C144" s="27">
        <v>45630</v>
      </c>
      <c r="D144" t="s">
        <v>15</v>
      </c>
      <c r="E144" t="s">
        <v>376</v>
      </c>
      <c r="F144">
        <v>2601</v>
      </c>
      <c r="G144">
        <v>336</v>
      </c>
      <c r="H144">
        <v>260</v>
      </c>
      <c r="I144">
        <v>32368</v>
      </c>
      <c r="J144">
        <v>49028</v>
      </c>
      <c r="K144">
        <v>120</v>
      </c>
      <c r="L144">
        <v>9.8770390509144837E-2</v>
      </c>
      <c r="M144">
        <v>109</v>
      </c>
      <c r="N144" t="s">
        <v>42</v>
      </c>
      <c r="O144">
        <f t="shared" si="2"/>
        <v>3197</v>
      </c>
    </row>
    <row r="145" spans="1:15">
      <c r="A145" t="s">
        <v>130</v>
      </c>
      <c r="B145" t="s">
        <v>24</v>
      </c>
      <c r="C145" s="27">
        <v>45495</v>
      </c>
      <c r="D145" t="s">
        <v>25</v>
      </c>
      <c r="E145" t="s">
        <v>376</v>
      </c>
      <c r="F145">
        <v>3336</v>
      </c>
      <c r="G145">
        <v>229</v>
      </c>
      <c r="H145">
        <v>337</v>
      </c>
      <c r="I145">
        <v>22117</v>
      </c>
      <c r="J145">
        <v>26205</v>
      </c>
      <c r="K145">
        <v>160</v>
      </c>
      <c r="L145">
        <v>0.17642537414658407</v>
      </c>
      <c r="M145">
        <v>15</v>
      </c>
      <c r="N145" t="s">
        <v>377</v>
      </c>
      <c r="O145">
        <f t="shared" si="2"/>
        <v>3902</v>
      </c>
    </row>
    <row r="146" spans="1:15">
      <c r="A146" t="s">
        <v>130</v>
      </c>
      <c r="B146" t="s">
        <v>24</v>
      </c>
      <c r="C146" s="27">
        <v>45495</v>
      </c>
      <c r="D146" t="s">
        <v>25</v>
      </c>
      <c r="E146" t="s">
        <v>376</v>
      </c>
      <c r="F146">
        <v>3336</v>
      </c>
      <c r="G146">
        <v>229</v>
      </c>
      <c r="H146">
        <v>337</v>
      </c>
      <c r="I146">
        <v>22117</v>
      </c>
      <c r="J146">
        <v>26205</v>
      </c>
      <c r="K146">
        <v>160</v>
      </c>
      <c r="L146">
        <v>0.17642537414658407</v>
      </c>
      <c r="M146">
        <v>15</v>
      </c>
      <c r="N146" t="s">
        <v>42</v>
      </c>
      <c r="O146">
        <f t="shared" si="2"/>
        <v>3902</v>
      </c>
    </row>
    <row r="147" spans="1:15">
      <c r="A147" t="s">
        <v>131</v>
      </c>
      <c r="B147" t="s">
        <v>24</v>
      </c>
      <c r="C147" s="27">
        <v>45774</v>
      </c>
      <c r="D147" t="s">
        <v>15</v>
      </c>
      <c r="E147" t="s">
        <v>20</v>
      </c>
      <c r="F147">
        <v>1165</v>
      </c>
      <c r="G147">
        <v>294</v>
      </c>
      <c r="H147">
        <v>163</v>
      </c>
      <c r="I147">
        <v>20659</v>
      </c>
      <c r="J147">
        <v>45926</v>
      </c>
      <c r="K147">
        <v>111</v>
      </c>
      <c r="L147">
        <v>7.8512996756861422E-2</v>
      </c>
      <c r="M147">
        <v>182</v>
      </c>
      <c r="N147" t="s">
        <v>45</v>
      </c>
      <c r="O147">
        <f t="shared" si="2"/>
        <v>1622</v>
      </c>
    </row>
    <row r="148" spans="1:15">
      <c r="A148" t="s">
        <v>132</v>
      </c>
      <c r="B148" t="s">
        <v>31</v>
      </c>
      <c r="C148" s="27">
        <v>45376</v>
      </c>
      <c r="D148" t="s">
        <v>57</v>
      </c>
      <c r="E148" t="s">
        <v>20</v>
      </c>
      <c r="F148">
        <v>1948</v>
      </c>
      <c r="G148">
        <v>155</v>
      </c>
      <c r="H148">
        <v>315</v>
      </c>
      <c r="I148">
        <v>30321</v>
      </c>
      <c r="J148">
        <v>57121</v>
      </c>
      <c r="K148">
        <v>82</v>
      </c>
      <c r="L148">
        <v>7.974671020085089E-2</v>
      </c>
      <c r="M148">
        <v>181</v>
      </c>
      <c r="N148" t="s">
        <v>21</v>
      </c>
      <c r="O148">
        <f t="shared" si="2"/>
        <v>2418</v>
      </c>
    </row>
    <row r="149" spans="1:15">
      <c r="A149" t="s">
        <v>132</v>
      </c>
      <c r="B149" t="s">
        <v>31</v>
      </c>
      <c r="C149" s="27">
        <v>45376</v>
      </c>
      <c r="D149" t="s">
        <v>57</v>
      </c>
      <c r="E149" t="s">
        <v>20</v>
      </c>
      <c r="F149">
        <v>1948</v>
      </c>
      <c r="G149">
        <v>155</v>
      </c>
      <c r="H149">
        <v>315</v>
      </c>
      <c r="I149">
        <v>30321</v>
      </c>
      <c r="J149">
        <v>57121</v>
      </c>
      <c r="K149">
        <v>82</v>
      </c>
      <c r="L149">
        <v>7.974671020085089E-2</v>
      </c>
      <c r="M149">
        <v>181</v>
      </c>
      <c r="N149" t="s">
        <v>45</v>
      </c>
      <c r="O149">
        <f t="shared" si="2"/>
        <v>2418</v>
      </c>
    </row>
    <row r="150" spans="1:15">
      <c r="A150" t="s">
        <v>133</v>
      </c>
      <c r="B150" t="s">
        <v>14</v>
      </c>
      <c r="C150" s="27">
        <v>45351</v>
      </c>
      <c r="D150" t="s">
        <v>15</v>
      </c>
      <c r="E150" t="s">
        <v>374</v>
      </c>
      <c r="F150">
        <v>1100</v>
      </c>
      <c r="G150">
        <v>229</v>
      </c>
      <c r="H150">
        <v>312</v>
      </c>
      <c r="I150">
        <v>25641</v>
      </c>
      <c r="J150">
        <v>34601</v>
      </c>
      <c r="K150">
        <v>169</v>
      </c>
      <c r="L150">
        <v>6.3999063999063993E-2</v>
      </c>
      <c r="M150">
        <v>214</v>
      </c>
      <c r="N150" t="s">
        <v>21</v>
      </c>
      <c r="O150">
        <f t="shared" si="2"/>
        <v>1641</v>
      </c>
    </row>
    <row r="151" spans="1:15">
      <c r="A151" t="s">
        <v>134</v>
      </c>
      <c r="B151" t="s">
        <v>24</v>
      </c>
      <c r="C151" s="27">
        <v>45609</v>
      </c>
      <c r="D151" t="s">
        <v>25</v>
      </c>
      <c r="E151" t="s">
        <v>41</v>
      </c>
      <c r="F151">
        <v>4628</v>
      </c>
      <c r="G151">
        <v>257</v>
      </c>
      <c r="H151">
        <v>397</v>
      </c>
      <c r="I151">
        <v>36686</v>
      </c>
      <c r="J151">
        <v>54683</v>
      </c>
      <c r="K151">
        <v>98</v>
      </c>
      <c r="L151">
        <v>0.1439786294499264</v>
      </c>
      <c r="M151">
        <v>43</v>
      </c>
      <c r="N151" t="s">
        <v>45</v>
      </c>
      <c r="O151">
        <f t="shared" si="2"/>
        <v>5282</v>
      </c>
    </row>
    <row r="152" spans="1:15">
      <c r="A152" t="s">
        <v>134</v>
      </c>
      <c r="B152" t="s">
        <v>24</v>
      </c>
      <c r="C152" s="27">
        <v>45609</v>
      </c>
      <c r="D152" t="s">
        <v>25</v>
      </c>
      <c r="E152" t="s">
        <v>41</v>
      </c>
      <c r="F152">
        <v>4628</v>
      </c>
      <c r="G152">
        <v>257</v>
      </c>
      <c r="H152">
        <v>397</v>
      </c>
      <c r="I152">
        <v>36686</v>
      </c>
      <c r="J152">
        <v>54683</v>
      </c>
      <c r="K152">
        <v>98</v>
      </c>
      <c r="L152">
        <v>0.1439786294499264</v>
      </c>
      <c r="M152">
        <v>43</v>
      </c>
      <c r="N152" t="s">
        <v>42</v>
      </c>
      <c r="O152">
        <f t="shared" si="2"/>
        <v>5282</v>
      </c>
    </row>
    <row r="153" spans="1:15">
      <c r="A153" t="s">
        <v>135</v>
      </c>
      <c r="B153" t="s">
        <v>14</v>
      </c>
      <c r="C153" s="27">
        <v>45373</v>
      </c>
      <c r="D153" t="s">
        <v>25</v>
      </c>
      <c r="E153" t="s">
        <v>16</v>
      </c>
      <c r="F153">
        <v>2319</v>
      </c>
      <c r="G153">
        <v>484</v>
      </c>
      <c r="H153">
        <v>193</v>
      </c>
      <c r="I153">
        <v>21202</v>
      </c>
      <c r="J153">
        <v>18091</v>
      </c>
      <c r="K153">
        <v>241</v>
      </c>
      <c r="L153">
        <v>0.14130742382794076</v>
      </c>
      <c r="M153">
        <v>45</v>
      </c>
      <c r="N153" t="s">
        <v>42</v>
      </c>
      <c r="O153">
        <f t="shared" si="2"/>
        <v>2996</v>
      </c>
    </row>
    <row r="154" spans="1:15">
      <c r="A154" t="s">
        <v>136</v>
      </c>
      <c r="B154" t="s">
        <v>24</v>
      </c>
      <c r="C154" s="27">
        <v>45367</v>
      </c>
      <c r="D154" t="s">
        <v>25</v>
      </c>
      <c r="E154" t="s">
        <v>376</v>
      </c>
      <c r="F154">
        <v>2895</v>
      </c>
      <c r="G154">
        <v>292</v>
      </c>
      <c r="H154">
        <v>90</v>
      </c>
      <c r="I154">
        <v>24223</v>
      </c>
      <c r="J154">
        <v>54626</v>
      </c>
      <c r="K154">
        <v>114</v>
      </c>
      <c r="L154">
        <v>0.13528464682326713</v>
      </c>
      <c r="M154">
        <v>50</v>
      </c>
      <c r="N154" t="s">
        <v>45</v>
      </c>
      <c r="O154">
        <f t="shared" si="2"/>
        <v>3277</v>
      </c>
    </row>
    <row r="155" spans="1:15">
      <c r="A155" t="s">
        <v>136</v>
      </c>
      <c r="B155" t="s">
        <v>24</v>
      </c>
      <c r="C155" s="27">
        <v>45367</v>
      </c>
      <c r="D155" t="s">
        <v>25</v>
      </c>
      <c r="E155" t="s">
        <v>376</v>
      </c>
      <c r="F155">
        <v>2895</v>
      </c>
      <c r="G155">
        <v>292</v>
      </c>
      <c r="H155">
        <v>90</v>
      </c>
      <c r="I155">
        <v>24223</v>
      </c>
      <c r="J155">
        <v>54626</v>
      </c>
      <c r="K155">
        <v>114</v>
      </c>
      <c r="L155">
        <v>0.13528464682326713</v>
      </c>
      <c r="M155">
        <v>50</v>
      </c>
      <c r="N155" t="s">
        <v>42</v>
      </c>
      <c r="O155">
        <f t="shared" si="2"/>
        <v>3277</v>
      </c>
    </row>
    <row r="156" spans="1:15">
      <c r="A156" t="s">
        <v>137</v>
      </c>
      <c r="B156" t="s">
        <v>14</v>
      </c>
      <c r="C156" s="27">
        <v>45317</v>
      </c>
      <c r="D156" t="s">
        <v>15</v>
      </c>
      <c r="E156" t="s">
        <v>373</v>
      </c>
      <c r="F156">
        <v>3878</v>
      </c>
      <c r="G156">
        <v>431</v>
      </c>
      <c r="H156">
        <v>97</v>
      </c>
      <c r="I156">
        <v>41763</v>
      </c>
      <c r="J156">
        <v>29729</v>
      </c>
      <c r="K156">
        <v>191</v>
      </c>
      <c r="L156">
        <v>0.10550008380623997</v>
      </c>
      <c r="M156">
        <v>96</v>
      </c>
      <c r="N156" t="s">
        <v>21</v>
      </c>
      <c r="O156">
        <f t="shared" si="2"/>
        <v>4406</v>
      </c>
    </row>
    <row r="157" spans="1:15">
      <c r="A157" t="s">
        <v>138</v>
      </c>
      <c r="B157" t="s">
        <v>24</v>
      </c>
      <c r="C157" s="27">
        <v>45366</v>
      </c>
      <c r="D157" t="s">
        <v>25</v>
      </c>
      <c r="E157" t="s">
        <v>37</v>
      </c>
      <c r="F157">
        <v>4969</v>
      </c>
      <c r="G157">
        <v>433</v>
      </c>
      <c r="H157">
        <v>237</v>
      </c>
      <c r="I157">
        <v>59552</v>
      </c>
      <c r="J157">
        <v>23885</v>
      </c>
      <c r="K157">
        <v>157</v>
      </c>
      <c r="L157">
        <v>9.4690354648038683E-2</v>
      </c>
      <c r="M157">
        <v>121</v>
      </c>
      <c r="N157" t="s">
        <v>21</v>
      </c>
      <c r="O157">
        <f t="shared" si="2"/>
        <v>5639</v>
      </c>
    </row>
    <row r="158" spans="1:15">
      <c r="A158" t="s">
        <v>138</v>
      </c>
      <c r="B158" t="s">
        <v>24</v>
      </c>
      <c r="C158" s="27">
        <v>45366</v>
      </c>
      <c r="D158" t="s">
        <v>25</v>
      </c>
      <c r="E158" t="s">
        <v>37</v>
      </c>
      <c r="F158">
        <v>4969</v>
      </c>
      <c r="G158">
        <v>433</v>
      </c>
      <c r="H158">
        <v>237</v>
      </c>
      <c r="I158">
        <v>59552</v>
      </c>
      <c r="J158">
        <v>23885</v>
      </c>
      <c r="K158">
        <v>157</v>
      </c>
      <c r="L158">
        <v>9.4690354648038683E-2</v>
      </c>
      <c r="M158">
        <v>121</v>
      </c>
      <c r="N158" t="s">
        <v>377</v>
      </c>
      <c r="O158">
        <f t="shared" si="2"/>
        <v>5639</v>
      </c>
    </row>
    <row r="159" spans="1:15">
      <c r="A159" t="s">
        <v>139</v>
      </c>
      <c r="B159" t="s">
        <v>24</v>
      </c>
      <c r="C159" s="27">
        <v>45580</v>
      </c>
      <c r="D159" t="s">
        <v>15</v>
      </c>
      <c r="E159" t="s">
        <v>376</v>
      </c>
      <c r="F159">
        <v>1984</v>
      </c>
      <c r="G159">
        <v>481</v>
      </c>
      <c r="H159">
        <v>356</v>
      </c>
      <c r="I159">
        <v>40681</v>
      </c>
      <c r="J159">
        <v>63111</v>
      </c>
      <c r="K159">
        <v>258</v>
      </c>
      <c r="L159">
        <v>6.934441139598338E-2</v>
      </c>
      <c r="M159">
        <v>205</v>
      </c>
      <c r="N159" t="s">
        <v>42</v>
      </c>
      <c r="O159">
        <f t="shared" si="2"/>
        <v>2821</v>
      </c>
    </row>
    <row r="160" spans="1:15">
      <c r="A160" t="s">
        <v>140</v>
      </c>
      <c r="B160" t="s">
        <v>14</v>
      </c>
      <c r="C160" s="27">
        <v>45494</v>
      </c>
      <c r="D160" t="s">
        <v>15</v>
      </c>
      <c r="E160" t="s">
        <v>16</v>
      </c>
      <c r="F160">
        <v>3004</v>
      </c>
      <c r="G160">
        <v>415</v>
      </c>
      <c r="H160">
        <v>218</v>
      </c>
      <c r="I160">
        <v>36090</v>
      </c>
      <c r="J160">
        <v>37073</v>
      </c>
      <c r="K160">
        <v>181</v>
      </c>
      <c r="L160">
        <v>0.10077583818232197</v>
      </c>
      <c r="M160">
        <v>107</v>
      </c>
      <c r="N160" t="s">
        <v>21</v>
      </c>
      <c r="O160">
        <f t="shared" si="2"/>
        <v>3637</v>
      </c>
    </row>
    <row r="161" spans="1:15">
      <c r="A161" t="s">
        <v>141</v>
      </c>
      <c r="B161" t="s">
        <v>24</v>
      </c>
      <c r="C161" s="27">
        <v>45577</v>
      </c>
      <c r="D161" t="s">
        <v>15</v>
      </c>
      <c r="E161" t="s">
        <v>37</v>
      </c>
      <c r="F161">
        <v>3169</v>
      </c>
      <c r="G161">
        <v>386</v>
      </c>
      <c r="H161">
        <v>175</v>
      </c>
      <c r="I161">
        <v>45012</v>
      </c>
      <c r="J161">
        <v>38508</v>
      </c>
      <c r="K161">
        <v>218</v>
      </c>
      <c r="L161">
        <v>8.2866791077934779E-2</v>
      </c>
      <c r="M161">
        <v>165</v>
      </c>
      <c r="N161" t="s">
        <v>42</v>
      </c>
      <c r="O161">
        <f t="shared" si="2"/>
        <v>3730</v>
      </c>
    </row>
    <row r="162" spans="1:15">
      <c r="A162" t="s">
        <v>142</v>
      </c>
      <c r="B162" t="s">
        <v>24</v>
      </c>
      <c r="C162" s="27">
        <v>45591</v>
      </c>
      <c r="D162" t="s">
        <v>15</v>
      </c>
      <c r="E162" t="s">
        <v>16</v>
      </c>
      <c r="F162">
        <v>3036</v>
      </c>
      <c r="G162">
        <v>293</v>
      </c>
      <c r="H162">
        <v>115</v>
      </c>
      <c r="I162">
        <v>23776</v>
      </c>
      <c r="J162">
        <v>46386</v>
      </c>
      <c r="K162">
        <v>282</v>
      </c>
      <c r="L162">
        <v>0.14485195154777927</v>
      </c>
      <c r="M162">
        <v>41</v>
      </c>
      <c r="N162" t="s">
        <v>42</v>
      </c>
      <c r="O162">
        <f t="shared" si="2"/>
        <v>3444</v>
      </c>
    </row>
    <row r="163" spans="1:15">
      <c r="A163" t="s">
        <v>143</v>
      </c>
      <c r="B163" t="s">
        <v>14</v>
      </c>
      <c r="C163" s="27">
        <v>45336</v>
      </c>
      <c r="D163" t="s">
        <v>15</v>
      </c>
      <c r="E163" t="s">
        <v>375</v>
      </c>
      <c r="F163">
        <v>1830</v>
      </c>
      <c r="G163">
        <v>112</v>
      </c>
      <c r="H163">
        <v>181</v>
      </c>
      <c r="I163">
        <v>31870</v>
      </c>
      <c r="J163">
        <v>55742</v>
      </c>
      <c r="K163">
        <v>263</v>
      </c>
      <c r="L163">
        <v>6.6614370881706936E-2</v>
      </c>
      <c r="M163">
        <v>208</v>
      </c>
      <c r="N163" t="s">
        <v>45</v>
      </c>
      <c r="O163">
        <f t="shared" si="2"/>
        <v>2123</v>
      </c>
    </row>
    <row r="164" spans="1:15">
      <c r="A164" t="s">
        <v>143</v>
      </c>
      <c r="B164" t="s">
        <v>14</v>
      </c>
      <c r="C164" s="27">
        <v>45336</v>
      </c>
      <c r="D164" t="s">
        <v>15</v>
      </c>
      <c r="E164" t="s">
        <v>375</v>
      </c>
      <c r="F164">
        <v>1830</v>
      </c>
      <c r="G164">
        <v>112</v>
      </c>
      <c r="H164">
        <v>181</v>
      </c>
      <c r="I164">
        <v>31870</v>
      </c>
      <c r="J164">
        <v>55742</v>
      </c>
      <c r="K164">
        <v>263</v>
      </c>
      <c r="L164">
        <v>6.6614370881706936E-2</v>
      </c>
      <c r="M164">
        <v>208</v>
      </c>
      <c r="N164" t="s">
        <v>42</v>
      </c>
      <c r="O164">
        <f t="shared" si="2"/>
        <v>2123</v>
      </c>
    </row>
    <row r="165" spans="1:15">
      <c r="A165" t="s">
        <v>144</v>
      </c>
      <c r="B165" t="s">
        <v>24</v>
      </c>
      <c r="C165" s="27">
        <v>45413</v>
      </c>
      <c r="D165" t="s">
        <v>25</v>
      </c>
      <c r="E165" t="s">
        <v>373</v>
      </c>
      <c r="F165">
        <v>2587</v>
      </c>
      <c r="G165">
        <v>447</v>
      </c>
      <c r="H165">
        <v>183</v>
      </c>
      <c r="I165">
        <v>36266</v>
      </c>
      <c r="J165">
        <v>32877</v>
      </c>
      <c r="K165">
        <v>132</v>
      </c>
      <c r="L165">
        <v>8.8705674736667947E-2</v>
      </c>
      <c r="M165">
        <v>140</v>
      </c>
      <c r="N165" t="s">
        <v>21</v>
      </c>
      <c r="O165">
        <f t="shared" si="2"/>
        <v>3217</v>
      </c>
    </row>
    <row r="166" spans="1:15">
      <c r="A166" t="s">
        <v>144</v>
      </c>
      <c r="B166" t="s">
        <v>24</v>
      </c>
      <c r="C166" s="27">
        <v>45413</v>
      </c>
      <c r="D166" t="s">
        <v>25</v>
      </c>
      <c r="E166" t="s">
        <v>373</v>
      </c>
      <c r="F166">
        <v>2587</v>
      </c>
      <c r="G166">
        <v>447</v>
      </c>
      <c r="H166">
        <v>183</v>
      </c>
      <c r="I166">
        <v>36266</v>
      </c>
      <c r="J166">
        <v>32877</v>
      </c>
      <c r="K166">
        <v>132</v>
      </c>
      <c r="L166">
        <v>8.8705674736667947E-2</v>
      </c>
      <c r="M166">
        <v>140</v>
      </c>
      <c r="N166" t="s">
        <v>377</v>
      </c>
      <c r="O166">
        <f t="shared" si="2"/>
        <v>3217</v>
      </c>
    </row>
    <row r="167" spans="1:15">
      <c r="A167" t="s">
        <v>145</v>
      </c>
      <c r="B167" t="s">
        <v>24</v>
      </c>
      <c r="C167" s="27">
        <v>45553</v>
      </c>
      <c r="D167" t="s">
        <v>15</v>
      </c>
      <c r="E167" t="s">
        <v>16</v>
      </c>
      <c r="F167">
        <v>2878</v>
      </c>
      <c r="G167">
        <v>265</v>
      </c>
      <c r="H167">
        <v>91</v>
      </c>
      <c r="I167">
        <v>52090</v>
      </c>
      <c r="J167">
        <v>28924</v>
      </c>
      <c r="K167">
        <v>133</v>
      </c>
      <c r="L167">
        <v>6.2084853138798232E-2</v>
      </c>
      <c r="M167">
        <v>218</v>
      </c>
      <c r="N167" t="s">
        <v>42</v>
      </c>
      <c r="O167">
        <f t="shared" si="2"/>
        <v>3234</v>
      </c>
    </row>
    <row r="168" spans="1:15">
      <c r="A168" t="s">
        <v>146</v>
      </c>
      <c r="B168" t="s">
        <v>24</v>
      </c>
      <c r="C168" s="27">
        <v>45677</v>
      </c>
      <c r="D168" t="s">
        <v>25</v>
      </c>
      <c r="E168" t="s">
        <v>26</v>
      </c>
      <c r="F168">
        <v>4619</v>
      </c>
      <c r="G168">
        <v>272</v>
      </c>
      <c r="H168">
        <v>57</v>
      </c>
      <c r="I168">
        <v>21334</v>
      </c>
      <c r="J168">
        <v>46292</v>
      </c>
      <c r="K168">
        <v>91</v>
      </c>
      <c r="L168">
        <v>0.23193025217961938</v>
      </c>
      <c r="M168">
        <v>2</v>
      </c>
      <c r="N168" t="s">
        <v>45</v>
      </c>
      <c r="O168">
        <f t="shared" si="2"/>
        <v>4948</v>
      </c>
    </row>
    <row r="169" spans="1:15">
      <c r="A169" t="s">
        <v>146</v>
      </c>
      <c r="B169" t="s">
        <v>24</v>
      </c>
      <c r="C169" s="27">
        <v>45677</v>
      </c>
      <c r="D169" t="s">
        <v>25</v>
      </c>
      <c r="E169" t="s">
        <v>26</v>
      </c>
      <c r="F169">
        <v>4619</v>
      </c>
      <c r="G169">
        <v>272</v>
      </c>
      <c r="H169">
        <v>57</v>
      </c>
      <c r="I169">
        <v>21334</v>
      </c>
      <c r="J169">
        <v>46292</v>
      </c>
      <c r="K169">
        <v>91</v>
      </c>
      <c r="L169">
        <v>0.23193025217961938</v>
      </c>
      <c r="M169">
        <v>2</v>
      </c>
      <c r="N169" t="s">
        <v>42</v>
      </c>
      <c r="O169">
        <f t="shared" si="2"/>
        <v>4948</v>
      </c>
    </row>
    <row r="170" spans="1:15">
      <c r="A170" t="s">
        <v>147</v>
      </c>
      <c r="B170" t="s">
        <v>24</v>
      </c>
      <c r="C170" s="27">
        <v>45670</v>
      </c>
      <c r="D170" t="s">
        <v>15</v>
      </c>
      <c r="E170" t="s">
        <v>375</v>
      </c>
      <c r="F170">
        <v>4090</v>
      </c>
      <c r="G170">
        <v>209</v>
      </c>
      <c r="H170">
        <v>278</v>
      </c>
      <c r="I170">
        <v>52853</v>
      </c>
      <c r="J170">
        <v>57084</v>
      </c>
      <c r="K170">
        <v>102</v>
      </c>
      <c r="L170">
        <v>8.6598679355949518E-2</v>
      </c>
      <c r="M170">
        <v>149</v>
      </c>
      <c r="N170" t="s">
        <v>45</v>
      </c>
      <c r="O170">
        <f t="shared" si="2"/>
        <v>4577</v>
      </c>
    </row>
    <row r="171" spans="1:15">
      <c r="A171" t="s">
        <v>148</v>
      </c>
      <c r="B171" t="s">
        <v>31</v>
      </c>
      <c r="C171" s="27">
        <v>45542</v>
      </c>
      <c r="D171" t="s">
        <v>57</v>
      </c>
      <c r="E171" t="s">
        <v>375</v>
      </c>
      <c r="F171">
        <v>3882</v>
      </c>
      <c r="G171">
        <v>342</v>
      </c>
      <c r="H171">
        <v>374</v>
      </c>
      <c r="I171">
        <v>41991</v>
      </c>
      <c r="J171">
        <v>48554</v>
      </c>
      <c r="K171">
        <v>118</v>
      </c>
      <c r="L171">
        <v>0.10949965468790931</v>
      </c>
      <c r="M171">
        <v>85</v>
      </c>
      <c r="N171" t="s">
        <v>21</v>
      </c>
      <c r="O171">
        <f t="shared" si="2"/>
        <v>4598</v>
      </c>
    </row>
    <row r="172" spans="1:15">
      <c r="A172" t="s">
        <v>148</v>
      </c>
      <c r="B172" t="s">
        <v>31</v>
      </c>
      <c r="C172" s="27">
        <v>45542</v>
      </c>
      <c r="D172" t="s">
        <v>57</v>
      </c>
      <c r="E172" t="s">
        <v>375</v>
      </c>
      <c r="F172">
        <v>3882</v>
      </c>
      <c r="G172">
        <v>342</v>
      </c>
      <c r="H172">
        <v>374</v>
      </c>
      <c r="I172">
        <v>41991</v>
      </c>
      <c r="J172">
        <v>48554</v>
      </c>
      <c r="K172">
        <v>118</v>
      </c>
      <c r="L172">
        <v>0.10949965468790931</v>
      </c>
      <c r="M172">
        <v>85</v>
      </c>
      <c r="N172" t="s">
        <v>45</v>
      </c>
      <c r="O172">
        <f t="shared" si="2"/>
        <v>4598</v>
      </c>
    </row>
    <row r="173" spans="1:15">
      <c r="A173" t="s">
        <v>149</v>
      </c>
      <c r="B173" t="s">
        <v>14</v>
      </c>
      <c r="C173" s="27">
        <v>45617</v>
      </c>
      <c r="D173" t="s">
        <v>15</v>
      </c>
      <c r="E173" t="s">
        <v>375</v>
      </c>
      <c r="F173">
        <v>4581</v>
      </c>
      <c r="G173">
        <v>181</v>
      </c>
      <c r="H173">
        <v>112</v>
      </c>
      <c r="I173">
        <v>35221</v>
      </c>
      <c r="J173">
        <v>28797</v>
      </c>
      <c r="K173">
        <v>164</v>
      </c>
      <c r="L173">
        <v>0.13838335084182732</v>
      </c>
      <c r="M173">
        <v>49</v>
      </c>
      <c r="N173" t="s">
        <v>45</v>
      </c>
      <c r="O173">
        <f t="shared" si="2"/>
        <v>4874</v>
      </c>
    </row>
    <row r="174" spans="1:15">
      <c r="A174" t="s">
        <v>149</v>
      </c>
      <c r="B174" t="s">
        <v>14</v>
      </c>
      <c r="C174" s="27">
        <v>45617</v>
      </c>
      <c r="D174" t="s">
        <v>15</v>
      </c>
      <c r="E174" t="s">
        <v>375</v>
      </c>
      <c r="F174">
        <v>4581</v>
      </c>
      <c r="G174">
        <v>181</v>
      </c>
      <c r="H174">
        <v>112</v>
      </c>
      <c r="I174">
        <v>35221</v>
      </c>
      <c r="J174">
        <v>28797</v>
      </c>
      <c r="K174">
        <v>164</v>
      </c>
      <c r="L174">
        <v>0.13838335084182732</v>
      </c>
      <c r="M174">
        <v>49</v>
      </c>
      <c r="N174" t="s">
        <v>42</v>
      </c>
      <c r="O174">
        <f t="shared" si="2"/>
        <v>4874</v>
      </c>
    </row>
    <row r="175" spans="1:15">
      <c r="A175" t="s">
        <v>150</v>
      </c>
      <c r="B175" t="s">
        <v>14</v>
      </c>
      <c r="C175" s="27">
        <v>45469</v>
      </c>
      <c r="D175" t="s">
        <v>15</v>
      </c>
      <c r="E175" t="s">
        <v>26</v>
      </c>
      <c r="F175">
        <v>3253</v>
      </c>
      <c r="G175">
        <v>483</v>
      </c>
      <c r="H175">
        <v>336</v>
      </c>
      <c r="I175">
        <v>25397</v>
      </c>
      <c r="J175">
        <v>51485</v>
      </c>
      <c r="K175">
        <v>131</v>
      </c>
      <c r="L175">
        <v>0.16033389770445328</v>
      </c>
      <c r="M175">
        <v>29</v>
      </c>
      <c r="N175" t="s">
        <v>21</v>
      </c>
      <c r="O175">
        <f t="shared" si="2"/>
        <v>4072</v>
      </c>
    </row>
    <row r="176" spans="1:15">
      <c r="A176" t="s">
        <v>151</v>
      </c>
      <c r="B176" t="s">
        <v>31</v>
      </c>
      <c r="C176" s="27">
        <v>45493</v>
      </c>
      <c r="D176" t="s">
        <v>57</v>
      </c>
      <c r="E176" t="s">
        <v>375</v>
      </c>
      <c r="F176">
        <v>4955</v>
      </c>
      <c r="G176">
        <v>299</v>
      </c>
      <c r="H176">
        <v>345</v>
      </c>
      <c r="I176">
        <v>33644</v>
      </c>
      <c r="J176">
        <v>43547</v>
      </c>
      <c r="K176">
        <v>194</v>
      </c>
      <c r="L176">
        <v>0.16641897515158721</v>
      </c>
      <c r="M176">
        <v>20</v>
      </c>
      <c r="N176" t="s">
        <v>21</v>
      </c>
      <c r="O176">
        <f t="shared" si="2"/>
        <v>5599</v>
      </c>
    </row>
    <row r="177" spans="1:15">
      <c r="A177" t="s">
        <v>151</v>
      </c>
      <c r="B177" t="s">
        <v>31</v>
      </c>
      <c r="C177" s="27">
        <v>45493</v>
      </c>
      <c r="D177" t="s">
        <v>57</v>
      </c>
      <c r="E177" t="s">
        <v>375</v>
      </c>
      <c r="F177">
        <v>4955</v>
      </c>
      <c r="G177">
        <v>299</v>
      </c>
      <c r="H177">
        <v>345</v>
      </c>
      <c r="I177">
        <v>33644</v>
      </c>
      <c r="J177">
        <v>43547</v>
      </c>
      <c r="K177">
        <v>194</v>
      </c>
      <c r="L177">
        <v>0.16641897515158721</v>
      </c>
      <c r="M177">
        <v>20</v>
      </c>
      <c r="N177" t="s">
        <v>45</v>
      </c>
      <c r="O177">
        <f t="shared" si="2"/>
        <v>5599</v>
      </c>
    </row>
    <row r="178" spans="1:15">
      <c r="A178" t="s">
        <v>152</v>
      </c>
      <c r="B178" t="s">
        <v>14</v>
      </c>
      <c r="C178" s="27">
        <v>45704</v>
      </c>
      <c r="D178" t="s">
        <v>15</v>
      </c>
      <c r="E178" t="s">
        <v>51</v>
      </c>
      <c r="F178">
        <v>1333</v>
      </c>
      <c r="G178">
        <v>286</v>
      </c>
      <c r="H178">
        <v>298</v>
      </c>
      <c r="I178">
        <v>36174</v>
      </c>
      <c r="J178">
        <v>34517</v>
      </c>
      <c r="K178">
        <v>170</v>
      </c>
      <c r="L178">
        <v>5.2993862995521647E-2</v>
      </c>
      <c r="M178">
        <v>243</v>
      </c>
      <c r="N178" t="s">
        <v>45</v>
      </c>
      <c r="O178">
        <f t="shared" si="2"/>
        <v>1917</v>
      </c>
    </row>
    <row r="179" spans="1:15">
      <c r="A179" t="s">
        <v>152</v>
      </c>
      <c r="B179" t="s">
        <v>14</v>
      </c>
      <c r="C179" s="27">
        <v>45704</v>
      </c>
      <c r="D179" t="s">
        <v>15</v>
      </c>
      <c r="E179" t="s">
        <v>51</v>
      </c>
      <c r="F179">
        <v>1333</v>
      </c>
      <c r="G179">
        <v>286</v>
      </c>
      <c r="H179">
        <v>298</v>
      </c>
      <c r="I179">
        <v>36174</v>
      </c>
      <c r="J179">
        <v>34517</v>
      </c>
      <c r="K179">
        <v>170</v>
      </c>
      <c r="L179">
        <v>5.2993862995521647E-2</v>
      </c>
      <c r="M179">
        <v>243</v>
      </c>
      <c r="N179" t="s">
        <v>42</v>
      </c>
      <c r="O179">
        <f t="shared" si="2"/>
        <v>1917</v>
      </c>
    </row>
    <row r="180" spans="1:15">
      <c r="A180" t="s">
        <v>153</v>
      </c>
      <c r="B180" t="s">
        <v>14</v>
      </c>
      <c r="C180" s="27">
        <v>45544</v>
      </c>
      <c r="D180" t="s">
        <v>15</v>
      </c>
      <c r="E180" t="s">
        <v>26</v>
      </c>
      <c r="F180">
        <v>1616</v>
      </c>
      <c r="G180">
        <v>360</v>
      </c>
      <c r="H180">
        <v>180</v>
      </c>
      <c r="I180">
        <v>54342</v>
      </c>
      <c r="J180">
        <v>18796</v>
      </c>
      <c r="K180">
        <v>282</v>
      </c>
      <c r="L180">
        <v>3.9674653122814763E-2</v>
      </c>
      <c r="M180">
        <v>278</v>
      </c>
      <c r="N180" t="s">
        <v>45</v>
      </c>
      <c r="O180">
        <f t="shared" si="2"/>
        <v>2156</v>
      </c>
    </row>
    <row r="181" spans="1:15">
      <c r="A181" t="s">
        <v>153</v>
      </c>
      <c r="B181" t="s">
        <v>14</v>
      </c>
      <c r="C181" s="27">
        <v>45544</v>
      </c>
      <c r="D181" t="s">
        <v>15</v>
      </c>
      <c r="E181" t="s">
        <v>26</v>
      </c>
      <c r="F181">
        <v>1616</v>
      </c>
      <c r="G181">
        <v>360</v>
      </c>
      <c r="H181">
        <v>180</v>
      </c>
      <c r="I181">
        <v>54342</v>
      </c>
      <c r="J181">
        <v>18796</v>
      </c>
      <c r="K181">
        <v>282</v>
      </c>
      <c r="L181">
        <v>3.9674653122814763E-2</v>
      </c>
      <c r="M181">
        <v>278</v>
      </c>
      <c r="N181" t="s">
        <v>42</v>
      </c>
      <c r="O181">
        <f t="shared" si="2"/>
        <v>2156</v>
      </c>
    </row>
    <row r="182" spans="1:15">
      <c r="A182" t="s">
        <v>154</v>
      </c>
      <c r="B182" t="s">
        <v>24</v>
      </c>
      <c r="C182" s="27">
        <v>45489</v>
      </c>
      <c r="D182" t="s">
        <v>15</v>
      </c>
      <c r="E182" t="s">
        <v>41</v>
      </c>
      <c r="F182">
        <v>1803</v>
      </c>
      <c r="G182">
        <v>273</v>
      </c>
      <c r="H182">
        <v>287</v>
      </c>
      <c r="I182">
        <v>46176</v>
      </c>
      <c r="J182">
        <v>25488</v>
      </c>
      <c r="K182">
        <v>141</v>
      </c>
      <c r="L182">
        <v>5.1173769923769923E-2</v>
      </c>
      <c r="M182">
        <v>253</v>
      </c>
      <c r="N182" t="s">
        <v>42</v>
      </c>
      <c r="O182">
        <f t="shared" si="2"/>
        <v>2363</v>
      </c>
    </row>
    <row r="183" spans="1:15">
      <c r="A183" t="s">
        <v>155</v>
      </c>
      <c r="B183" t="s">
        <v>14</v>
      </c>
      <c r="C183" s="27">
        <v>45762</v>
      </c>
      <c r="D183" t="s">
        <v>15</v>
      </c>
      <c r="E183" t="s">
        <v>20</v>
      </c>
      <c r="F183">
        <v>4177</v>
      </c>
      <c r="G183">
        <v>489</v>
      </c>
      <c r="H183">
        <v>331</v>
      </c>
      <c r="I183">
        <v>57451</v>
      </c>
      <c r="J183">
        <v>73793</v>
      </c>
      <c r="K183">
        <v>251</v>
      </c>
      <c r="L183">
        <v>8.6978468608031198E-2</v>
      </c>
      <c r="M183">
        <v>147</v>
      </c>
      <c r="N183" t="s">
        <v>21</v>
      </c>
      <c r="O183">
        <f t="shared" si="2"/>
        <v>4997</v>
      </c>
    </row>
    <row r="184" spans="1:15">
      <c r="A184" t="s">
        <v>156</v>
      </c>
      <c r="B184" t="s">
        <v>14</v>
      </c>
      <c r="C184" s="27">
        <v>45781</v>
      </c>
      <c r="D184" t="s">
        <v>25</v>
      </c>
      <c r="E184" t="s">
        <v>26</v>
      </c>
      <c r="F184">
        <v>1311</v>
      </c>
      <c r="G184">
        <v>181</v>
      </c>
      <c r="H184">
        <v>361</v>
      </c>
      <c r="I184">
        <v>37148</v>
      </c>
      <c r="J184">
        <v>44875</v>
      </c>
      <c r="K184">
        <v>245</v>
      </c>
      <c r="L184">
        <v>4.9881554861634543E-2</v>
      </c>
      <c r="M184">
        <v>256</v>
      </c>
      <c r="N184" t="s">
        <v>42</v>
      </c>
      <c r="O184">
        <f t="shared" si="2"/>
        <v>1853</v>
      </c>
    </row>
    <row r="185" spans="1:15">
      <c r="A185" t="s">
        <v>157</v>
      </c>
      <c r="B185" t="s">
        <v>14</v>
      </c>
      <c r="C185" s="27">
        <v>45340</v>
      </c>
      <c r="D185" t="s">
        <v>25</v>
      </c>
      <c r="E185" t="s">
        <v>374</v>
      </c>
      <c r="F185">
        <v>1516</v>
      </c>
      <c r="G185">
        <v>215</v>
      </c>
      <c r="H185">
        <v>332</v>
      </c>
      <c r="I185">
        <v>58981</v>
      </c>
      <c r="J185">
        <v>36118</v>
      </c>
      <c r="K185">
        <v>211</v>
      </c>
      <c r="L185">
        <v>3.4977365592309385E-2</v>
      </c>
      <c r="M185">
        <v>288</v>
      </c>
      <c r="N185" t="s">
        <v>42</v>
      </c>
      <c r="O185">
        <f t="shared" si="2"/>
        <v>2063</v>
      </c>
    </row>
    <row r="186" spans="1:15">
      <c r="A186" t="s">
        <v>158</v>
      </c>
      <c r="B186" t="s">
        <v>24</v>
      </c>
      <c r="C186" s="27">
        <v>45428</v>
      </c>
      <c r="D186" t="s">
        <v>25</v>
      </c>
      <c r="E186" t="s">
        <v>375</v>
      </c>
      <c r="F186">
        <v>2023</v>
      </c>
      <c r="G186">
        <v>124</v>
      </c>
      <c r="H186">
        <v>99</v>
      </c>
      <c r="I186">
        <v>54524</v>
      </c>
      <c r="J186">
        <v>34790</v>
      </c>
      <c r="K186">
        <v>195</v>
      </c>
      <c r="L186">
        <v>4.1192869195216787E-2</v>
      </c>
      <c r="M186">
        <v>273</v>
      </c>
      <c r="N186" t="s">
        <v>21</v>
      </c>
      <c r="O186">
        <f t="shared" si="2"/>
        <v>2246</v>
      </c>
    </row>
    <row r="187" spans="1:15">
      <c r="A187" t="s">
        <v>158</v>
      </c>
      <c r="B187" t="s">
        <v>24</v>
      </c>
      <c r="C187" s="27">
        <v>45428</v>
      </c>
      <c r="D187" t="s">
        <v>25</v>
      </c>
      <c r="E187" t="s">
        <v>375</v>
      </c>
      <c r="F187">
        <v>2023</v>
      </c>
      <c r="G187">
        <v>124</v>
      </c>
      <c r="H187">
        <v>99</v>
      </c>
      <c r="I187">
        <v>54524</v>
      </c>
      <c r="J187">
        <v>34790</v>
      </c>
      <c r="K187">
        <v>195</v>
      </c>
      <c r="L187">
        <v>4.1192869195216787E-2</v>
      </c>
      <c r="M187">
        <v>273</v>
      </c>
      <c r="N187" t="s">
        <v>377</v>
      </c>
      <c r="O187">
        <f t="shared" si="2"/>
        <v>2246</v>
      </c>
    </row>
    <row r="188" spans="1:15">
      <c r="A188" t="s">
        <v>159</v>
      </c>
      <c r="B188" t="s">
        <v>24</v>
      </c>
      <c r="C188" s="27">
        <v>45806</v>
      </c>
      <c r="D188" t="s">
        <v>25</v>
      </c>
      <c r="E188" t="s">
        <v>375</v>
      </c>
      <c r="F188">
        <v>2134</v>
      </c>
      <c r="G188">
        <v>322</v>
      </c>
      <c r="H188">
        <v>114</v>
      </c>
      <c r="I188">
        <v>44338</v>
      </c>
      <c r="J188">
        <v>52165</v>
      </c>
      <c r="K188">
        <v>176</v>
      </c>
      <c r="L188">
        <v>5.7963823356939871E-2</v>
      </c>
      <c r="M188">
        <v>230</v>
      </c>
      <c r="N188" t="s">
        <v>377</v>
      </c>
      <c r="O188">
        <f t="shared" si="2"/>
        <v>2570</v>
      </c>
    </row>
    <row r="189" spans="1:15">
      <c r="A189" t="s">
        <v>159</v>
      </c>
      <c r="B189" t="s">
        <v>24</v>
      </c>
      <c r="C189" s="27">
        <v>45806</v>
      </c>
      <c r="D189" t="s">
        <v>25</v>
      </c>
      <c r="E189" t="s">
        <v>375</v>
      </c>
      <c r="F189">
        <v>2134</v>
      </c>
      <c r="G189">
        <v>322</v>
      </c>
      <c r="H189">
        <v>114</v>
      </c>
      <c r="I189">
        <v>44338</v>
      </c>
      <c r="J189">
        <v>52165</v>
      </c>
      <c r="K189">
        <v>176</v>
      </c>
      <c r="L189">
        <v>5.7963823356939871E-2</v>
      </c>
      <c r="M189">
        <v>230</v>
      </c>
      <c r="N189" t="s">
        <v>42</v>
      </c>
      <c r="O189">
        <f t="shared" si="2"/>
        <v>2570</v>
      </c>
    </row>
    <row r="190" spans="1:15">
      <c r="A190" t="s">
        <v>160</v>
      </c>
      <c r="B190" t="s">
        <v>14</v>
      </c>
      <c r="C190" s="27">
        <v>45674</v>
      </c>
      <c r="D190" t="s">
        <v>15</v>
      </c>
      <c r="E190" t="s">
        <v>41</v>
      </c>
      <c r="F190">
        <v>2266</v>
      </c>
      <c r="G190">
        <v>126</v>
      </c>
      <c r="H190">
        <v>140</v>
      </c>
      <c r="I190">
        <v>53759</v>
      </c>
      <c r="J190">
        <v>46834</v>
      </c>
      <c r="K190">
        <v>277</v>
      </c>
      <c r="L190">
        <v>4.7099090384865788E-2</v>
      </c>
      <c r="M190">
        <v>262</v>
      </c>
      <c r="N190" t="s">
        <v>21</v>
      </c>
      <c r="O190">
        <f t="shared" si="2"/>
        <v>2532</v>
      </c>
    </row>
    <row r="191" spans="1:15">
      <c r="A191" t="s">
        <v>161</v>
      </c>
      <c r="B191" t="s">
        <v>14</v>
      </c>
      <c r="C191" s="27">
        <v>45777</v>
      </c>
      <c r="D191" t="s">
        <v>25</v>
      </c>
      <c r="E191" t="s">
        <v>26</v>
      </c>
      <c r="F191">
        <v>3916</v>
      </c>
      <c r="G191">
        <v>459</v>
      </c>
      <c r="H191">
        <v>229</v>
      </c>
      <c r="I191">
        <v>48989</v>
      </c>
      <c r="J191">
        <v>39768</v>
      </c>
      <c r="K191">
        <v>200</v>
      </c>
      <c r="L191">
        <v>9.3980281287635997E-2</v>
      </c>
      <c r="M191">
        <v>126</v>
      </c>
      <c r="N191" t="s">
        <v>42</v>
      </c>
      <c r="O191">
        <f t="shared" si="2"/>
        <v>4604</v>
      </c>
    </row>
    <row r="192" spans="1:15">
      <c r="A192" t="s">
        <v>162</v>
      </c>
      <c r="B192" t="s">
        <v>24</v>
      </c>
      <c r="C192" s="27">
        <v>45346</v>
      </c>
      <c r="D192" t="s">
        <v>25</v>
      </c>
      <c r="E192" t="s">
        <v>375</v>
      </c>
      <c r="F192">
        <v>1022</v>
      </c>
      <c r="G192">
        <v>463</v>
      </c>
      <c r="H192">
        <v>360</v>
      </c>
      <c r="I192">
        <v>51468</v>
      </c>
      <c r="J192">
        <v>24279</v>
      </c>
      <c r="K192">
        <v>230</v>
      </c>
      <c r="L192">
        <v>3.5847516903707161E-2</v>
      </c>
      <c r="M192">
        <v>283</v>
      </c>
      <c r="N192" t="s">
        <v>21</v>
      </c>
      <c r="O192">
        <f t="shared" si="2"/>
        <v>1845</v>
      </c>
    </row>
    <row r="193" spans="1:15">
      <c r="A193" t="s">
        <v>162</v>
      </c>
      <c r="B193" t="s">
        <v>24</v>
      </c>
      <c r="C193" s="27">
        <v>45346</v>
      </c>
      <c r="D193" t="s">
        <v>25</v>
      </c>
      <c r="E193" t="s">
        <v>375</v>
      </c>
      <c r="F193">
        <v>1022</v>
      </c>
      <c r="G193">
        <v>463</v>
      </c>
      <c r="H193">
        <v>360</v>
      </c>
      <c r="I193">
        <v>51468</v>
      </c>
      <c r="J193">
        <v>24279</v>
      </c>
      <c r="K193">
        <v>230</v>
      </c>
      <c r="L193">
        <v>3.5847516903707161E-2</v>
      </c>
      <c r="M193">
        <v>283</v>
      </c>
      <c r="N193" t="s">
        <v>377</v>
      </c>
      <c r="O193">
        <f t="shared" si="2"/>
        <v>1845</v>
      </c>
    </row>
    <row r="194" spans="1:15">
      <c r="A194" t="s">
        <v>163</v>
      </c>
      <c r="B194" t="s">
        <v>31</v>
      </c>
      <c r="C194" s="27">
        <v>45424</v>
      </c>
      <c r="D194" t="s">
        <v>15</v>
      </c>
      <c r="E194" t="s">
        <v>374</v>
      </c>
      <c r="F194">
        <v>2911</v>
      </c>
      <c r="G194">
        <v>467</v>
      </c>
      <c r="H194">
        <v>94</v>
      </c>
      <c r="I194">
        <v>59083</v>
      </c>
      <c r="J194">
        <v>49762</v>
      </c>
      <c r="K194">
        <v>236</v>
      </c>
      <c r="L194">
        <v>5.8764788517847777E-2</v>
      </c>
      <c r="M194">
        <v>227</v>
      </c>
      <c r="N194" t="s">
        <v>21</v>
      </c>
      <c r="O194">
        <f t="shared" ref="O194:O257" si="3" xml:space="preserve"> F194 + G194+H194</f>
        <v>3472</v>
      </c>
    </row>
    <row r="195" spans="1:15">
      <c r="A195" t="s">
        <v>163</v>
      </c>
      <c r="B195" t="s">
        <v>31</v>
      </c>
      <c r="C195" s="27">
        <v>45424</v>
      </c>
      <c r="D195" t="s">
        <v>15</v>
      </c>
      <c r="E195" t="s">
        <v>374</v>
      </c>
      <c r="F195">
        <v>2911</v>
      </c>
      <c r="G195">
        <v>467</v>
      </c>
      <c r="H195">
        <v>94</v>
      </c>
      <c r="I195">
        <v>59083</v>
      </c>
      <c r="J195">
        <v>49762</v>
      </c>
      <c r="K195">
        <v>236</v>
      </c>
      <c r="L195">
        <v>5.8764788517847777E-2</v>
      </c>
      <c r="M195">
        <v>227</v>
      </c>
      <c r="N195" t="s">
        <v>378</v>
      </c>
      <c r="O195">
        <f t="shared" si="3"/>
        <v>3472</v>
      </c>
    </row>
    <row r="196" spans="1:15">
      <c r="A196" t="s">
        <v>164</v>
      </c>
      <c r="B196" t="s">
        <v>24</v>
      </c>
      <c r="C196" s="27">
        <v>45421</v>
      </c>
      <c r="D196" t="s">
        <v>25</v>
      </c>
      <c r="E196" t="s">
        <v>26</v>
      </c>
      <c r="F196">
        <v>3277</v>
      </c>
      <c r="G196">
        <v>423</v>
      </c>
      <c r="H196">
        <v>259</v>
      </c>
      <c r="I196">
        <v>46328</v>
      </c>
      <c r="J196">
        <v>44293</v>
      </c>
      <c r="K196">
        <v>299</v>
      </c>
      <c r="L196">
        <v>8.5455879813503707E-2</v>
      </c>
      <c r="M196">
        <v>154</v>
      </c>
      <c r="N196" t="s">
        <v>45</v>
      </c>
      <c r="O196">
        <f t="shared" si="3"/>
        <v>3959</v>
      </c>
    </row>
    <row r="197" spans="1:15">
      <c r="A197" t="s">
        <v>164</v>
      </c>
      <c r="B197" t="s">
        <v>24</v>
      </c>
      <c r="C197" s="27">
        <v>45421</v>
      </c>
      <c r="D197" t="s">
        <v>25</v>
      </c>
      <c r="E197" t="s">
        <v>26</v>
      </c>
      <c r="F197">
        <v>3277</v>
      </c>
      <c r="G197">
        <v>423</v>
      </c>
      <c r="H197">
        <v>259</v>
      </c>
      <c r="I197">
        <v>46328</v>
      </c>
      <c r="J197">
        <v>44293</v>
      </c>
      <c r="K197">
        <v>299</v>
      </c>
      <c r="L197">
        <v>8.5455879813503707E-2</v>
      </c>
      <c r="M197">
        <v>154</v>
      </c>
      <c r="N197" t="s">
        <v>42</v>
      </c>
      <c r="O197">
        <f t="shared" si="3"/>
        <v>3959</v>
      </c>
    </row>
    <row r="198" spans="1:15">
      <c r="A198" t="s">
        <v>165</v>
      </c>
      <c r="B198" t="s">
        <v>24</v>
      </c>
      <c r="C198" s="27">
        <v>45602</v>
      </c>
      <c r="D198" t="s">
        <v>15</v>
      </c>
      <c r="E198" t="s">
        <v>374</v>
      </c>
      <c r="F198">
        <v>2956</v>
      </c>
      <c r="G198">
        <v>381</v>
      </c>
      <c r="H198">
        <v>345</v>
      </c>
      <c r="I198">
        <v>33347</v>
      </c>
      <c r="J198">
        <v>22558</v>
      </c>
      <c r="K198">
        <v>173</v>
      </c>
      <c r="L198">
        <v>0.11041472996071611</v>
      </c>
      <c r="M198">
        <v>82</v>
      </c>
      <c r="N198" t="s">
        <v>42</v>
      </c>
      <c r="O198">
        <f t="shared" si="3"/>
        <v>3682</v>
      </c>
    </row>
    <row r="199" spans="1:15">
      <c r="A199" t="s">
        <v>166</v>
      </c>
      <c r="B199" t="s">
        <v>24</v>
      </c>
      <c r="C199" s="27">
        <v>45295</v>
      </c>
      <c r="D199" t="s">
        <v>25</v>
      </c>
      <c r="E199" t="s">
        <v>373</v>
      </c>
      <c r="F199">
        <v>3208</v>
      </c>
      <c r="G199">
        <v>476</v>
      </c>
      <c r="H199">
        <v>277</v>
      </c>
      <c r="I199">
        <v>56072</v>
      </c>
      <c r="J199">
        <v>21061</v>
      </c>
      <c r="K199">
        <v>113</v>
      </c>
      <c r="L199">
        <v>7.064131830503638E-2</v>
      </c>
      <c r="M199">
        <v>200</v>
      </c>
      <c r="N199" t="s">
        <v>377</v>
      </c>
      <c r="O199">
        <f t="shared" si="3"/>
        <v>3961</v>
      </c>
    </row>
    <row r="200" spans="1:15">
      <c r="A200" t="s">
        <v>166</v>
      </c>
      <c r="B200" t="s">
        <v>24</v>
      </c>
      <c r="C200" s="27">
        <v>45295</v>
      </c>
      <c r="D200" t="s">
        <v>25</v>
      </c>
      <c r="E200" t="s">
        <v>373</v>
      </c>
      <c r="F200">
        <v>3208</v>
      </c>
      <c r="G200">
        <v>476</v>
      </c>
      <c r="H200">
        <v>277</v>
      </c>
      <c r="I200">
        <v>56072</v>
      </c>
      <c r="J200">
        <v>21061</v>
      </c>
      <c r="K200">
        <v>113</v>
      </c>
      <c r="L200">
        <v>7.064131830503638E-2</v>
      </c>
      <c r="M200">
        <v>200</v>
      </c>
      <c r="N200" t="s">
        <v>42</v>
      </c>
      <c r="O200">
        <f t="shared" si="3"/>
        <v>3961</v>
      </c>
    </row>
    <row r="201" spans="1:15">
      <c r="A201" t="s">
        <v>167</v>
      </c>
      <c r="B201" t="s">
        <v>24</v>
      </c>
      <c r="C201" s="27">
        <v>45319</v>
      </c>
      <c r="D201" t="s">
        <v>15</v>
      </c>
      <c r="E201" t="s">
        <v>375</v>
      </c>
      <c r="F201">
        <v>1456</v>
      </c>
      <c r="G201">
        <v>265</v>
      </c>
      <c r="H201">
        <v>137</v>
      </c>
      <c r="I201">
        <v>53485</v>
      </c>
      <c r="J201">
        <v>59729</v>
      </c>
      <c r="K201">
        <v>145</v>
      </c>
      <c r="L201">
        <v>3.4738711788351875E-2</v>
      </c>
      <c r="M201">
        <v>289</v>
      </c>
      <c r="N201" t="s">
        <v>45</v>
      </c>
      <c r="O201">
        <f t="shared" si="3"/>
        <v>1858</v>
      </c>
    </row>
    <row r="202" spans="1:15">
      <c r="A202" t="s">
        <v>168</v>
      </c>
      <c r="B202" t="s">
        <v>14</v>
      </c>
      <c r="C202" s="27">
        <v>45344</v>
      </c>
      <c r="D202" t="s">
        <v>15</v>
      </c>
      <c r="E202" t="s">
        <v>26</v>
      </c>
      <c r="F202">
        <v>1902</v>
      </c>
      <c r="G202">
        <v>394</v>
      </c>
      <c r="H202">
        <v>279</v>
      </c>
      <c r="I202">
        <v>24615</v>
      </c>
      <c r="J202">
        <v>51330</v>
      </c>
      <c r="K202">
        <v>176</v>
      </c>
      <c r="L202">
        <v>0.10461100954702417</v>
      </c>
      <c r="M202">
        <v>99</v>
      </c>
      <c r="N202" t="s">
        <v>45</v>
      </c>
      <c r="O202">
        <f t="shared" si="3"/>
        <v>2575</v>
      </c>
    </row>
    <row r="203" spans="1:15">
      <c r="A203" t="s">
        <v>168</v>
      </c>
      <c r="B203" t="s">
        <v>14</v>
      </c>
      <c r="C203" s="27">
        <v>45344</v>
      </c>
      <c r="D203" t="s">
        <v>15</v>
      </c>
      <c r="E203" t="s">
        <v>26</v>
      </c>
      <c r="F203">
        <v>1902</v>
      </c>
      <c r="G203">
        <v>394</v>
      </c>
      <c r="H203">
        <v>279</v>
      </c>
      <c r="I203">
        <v>24615</v>
      </c>
      <c r="J203">
        <v>51330</v>
      </c>
      <c r="K203">
        <v>176</v>
      </c>
      <c r="L203">
        <v>0.10461100954702417</v>
      </c>
      <c r="M203">
        <v>99</v>
      </c>
      <c r="N203" t="s">
        <v>42</v>
      </c>
      <c r="O203">
        <f t="shared" si="3"/>
        <v>2575</v>
      </c>
    </row>
    <row r="204" spans="1:15">
      <c r="A204" t="s">
        <v>169</v>
      </c>
      <c r="B204" t="s">
        <v>24</v>
      </c>
      <c r="C204" s="27">
        <v>45839</v>
      </c>
      <c r="D204" t="s">
        <v>25</v>
      </c>
      <c r="E204" t="s">
        <v>20</v>
      </c>
      <c r="F204">
        <v>3219</v>
      </c>
      <c r="G204">
        <v>424</v>
      </c>
      <c r="H204">
        <v>267</v>
      </c>
      <c r="I204">
        <v>48879</v>
      </c>
      <c r="J204">
        <v>37691</v>
      </c>
      <c r="K204">
        <v>224</v>
      </c>
      <c r="L204">
        <v>7.9993453221219743E-2</v>
      </c>
      <c r="M204">
        <v>179</v>
      </c>
      <c r="N204" t="s">
        <v>21</v>
      </c>
      <c r="O204">
        <f t="shared" si="3"/>
        <v>3910</v>
      </c>
    </row>
    <row r="205" spans="1:15">
      <c r="A205" t="s">
        <v>169</v>
      </c>
      <c r="B205" t="s">
        <v>24</v>
      </c>
      <c r="C205" s="27">
        <v>45839</v>
      </c>
      <c r="D205" t="s">
        <v>25</v>
      </c>
      <c r="E205" t="s">
        <v>20</v>
      </c>
      <c r="F205">
        <v>3219</v>
      </c>
      <c r="G205">
        <v>424</v>
      </c>
      <c r="H205">
        <v>267</v>
      </c>
      <c r="I205">
        <v>48879</v>
      </c>
      <c r="J205">
        <v>37691</v>
      </c>
      <c r="K205">
        <v>224</v>
      </c>
      <c r="L205">
        <v>7.9993453221219743E-2</v>
      </c>
      <c r="M205">
        <v>179</v>
      </c>
      <c r="N205" t="s">
        <v>377</v>
      </c>
      <c r="O205">
        <f t="shared" si="3"/>
        <v>3910</v>
      </c>
    </row>
    <row r="206" spans="1:15">
      <c r="A206" t="s">
        <v>170</v>
      </c>
      <c r="B206" t="s">
        <v>31</v>
      </c>
      <c r="C206" s="27">
        <v>45301</v>
      </c>
      <c r="D206" t="s">
        <v>15</v>
      </c>
      <c r="E206" t="s">
        <v>20</v>
      </c>
      <c r="F206">
        <v>1261</v>
      </c>
      <c r="G206">
        <v>190</v>
      </c>
      <c r="H206">
        <v>233</v>
      </c>
      <c r="I206">
        <v>59888</v>
      </c>
      <c r="J206">
        <v>51449</v>
      </c>
      <c r="K206">
        <v>205</v>
      </c>
      <c r="L206">
        <v>2.811915575741384E-2</v>
      </c>
      <c r="M206">
        <v>298</v>
      </c>
      <c r="N206" t="s">
        <v>21</v>
      </c>
      <c r="O206">
        <f t="shared" si="3"/>
        <v>1684</v>
      </c>
    </row>
    <row r="207" spans="1:15">
      <c r="A207" t="s">
        <v>170</v>
      </c>
      <c r="B207" t="s">
        <v>31</v>
      </c>
      <c r="C207" s="27">
        <v>45301</v>
      </c>
      <c r="D207" t="s">
        <v>15</v>
      </c>
      <c r="E207" t="s">
        <v>20</v>
      </c>
      <c r="F207">
        <v>1261</v>
      </c>
      <c r="G207">
        <v>190</v>
      </c>
      <c r="H207">
        <v>233</v>
      </c>
      <c r="I207">
        <v>59888</v>
      </c>
      <c r="J207">
        <v>51449</v>
      </c>
      <c r="K207">
        <v>205</v>
      </c>
      <c r="L207">
        <v>2.811915575741384E-2</v>
      </c>
      <c r="M207">
        <v>298</v>
      </c>
      <c r="N207" t="s">
        <v>378</v>
      </c>
      <c r="O207">
        <f t="shared" si="3"/>
        <v>1684</v>
      </c>
    </row>
    <row r="208" spans="1:15">
      <c r="A208" t="s">
        <v>171</v>
      </c>
      <c r="B208" t="s">
        <v>24</v>
      </c>
      <c r="C208" s="27">
        <v>45736</v>
      </c>
      <c r="D208" t="s">
        <v>15</v>
      </c>
      <c r="E208" t="s">
        <v>51</v>
      </c>
      <c r="F208">
        <v>1564</v>
      </c>
      <c r="G208">
        <v>362</v>
      </c>
      <c r="H208">
        <v>371</v>
      </c>
      <c r="I208">
        <v>42075</v>
      </c>
      <c r="J208">
        <v>66659</v>
      </c>
      <c r="K208">
        <v>205</v>
      </c>
      <c r="L208">
        <v>5.4592988710635768E-2</v>
      </c>
      <c r="M208">
        <v>238</v>
      </c>
      <c r="N208" t="s">
        <v>45</v>
      </c>
      <c r="O208">
        <f t="shared" si="3"/>
        <v>2297</v>
      </c>
    </row>
    <row r="209" spans="1:15">
      <c r="A209" t="s">
        <v>172</v>
      </c>
      <c r="B209" t="s">
        <v>24</v>
      </c>
      <c r="C209" s="27">
        <v>45563</v>
      </c>
      <c r="D209" t="s">
        <v>15</v>
      </c>
      <c r="E209" t="s">
        <v>373</v>
      </c>
      <c r="F209">
        <v>4006</v>
      </c>
      <c r="G209">
        <v>420</v>
      </c>
      <c r="H209">
        <v>194</v>
      </c>
      <c r="I209">
        <v>49964</v>
      </c>
      <c r="J209">
        <v>20685</v>
      </c>
      <c r="K209">
        <v>148</v>
      </c>
      <c r="L209">
        <v>9.2466575934672959E-2</v>
      </c>
      <c r="M209">
        <v>132</v>
      </c>
      <c r="N209" t="s">
        <v>42</v>
      </c>
      <c r="O209">
        <f t="shared" si="3"/>
        <v>4620</v>
      </c>
    </row>
    <row r="210" spans="1:15">
      <c r="A210" t="s">
        <v>173</v>
      </c>
      <c r="B210" t="s">
        <v>31</v>
      </c>
      <c r="C210" s="27">
        <v>45318</v>
      </c>
      <c r="D210" t="s">
        <v>15</v>
      </c>
      <c r="E210" t="s">
        <v>51</v>
      </c>
      <c r="F210">
        <v>1976</v>
      </c>
      <c r="G210">
        <v>262</v>
      </c>
      <c r="H210">
        <v>218</v>
      </c>
      <c r="I210">
        <v>51696</v>
      </c>
      <c r="J210">
        <v>44846</v>
      </c>
      <c r="K210">
        <v>139</v>
      </c>
      <c r="L210">
        <v>4.7508511296812134E-2</v>
      </c>
      <c r="M210">
        <v>260</v>
      </c>
      <c r="N210" t="s">
        <v>21</v>
      </c>
      <c r="O210">
        <f t="shared" si="3"/>
        <v>2456</v>
      </c>
    </row>
    <row r="211" spans="1:15">
      <c r="A211" t="s">
        <v>173</v>
      </c>
      <c r="B211" t="s">
        <v>31</v>
      </c>
      <c r="C211" s="27">
        <v>45318</v>
      </c>
      <c r="D211" t="s">
        <v>15</v>
      </c>
      <c r="E211" t="s">
        <v>51</v>
      </c>
      <c r="F211">
        <v>1976</v>
      </c>
      <c r="G211">
        <v>262</v>
      </c>
      <c r="H211">
        <v>218</v>
      </c>
      <c r="I211">
        <v>51696</v>
      </c>
      <c r="J211">
        <v>44846</v>
      </c>
      <c r="K211">
        <v>139</v>
      </c>
      <c r="L211">
        <v>4.7508511296812134E-2</v>
      </c>
      <c r="M211">
        <v>260</v>
      </c>
      <c r="N211" t="s">
        <v>378</v>
      </c>
      <c r="O211">
        <f t="shared" si="3"/>
        <v>2456</v>
      </c>
    </row>
    <row r="212" spans="1:15">
      <c r="A212" t="s">
        <v>174</v>
      </c>
      <c r="B212" t="s">
        <v>24</v>
      </c>
      <c r="C212" s="27">
        <v>45792</v>
      </c>
      <c r="D212" t="s">
        <v>15</v>
      </c>
      <c r="E212" t="s">
        <v>26</v>
      </c>
      <c r="F212">
        <v>1583</v>
      </c>
      <c r="G212">
        <v>433</v>
      </c>
      <c r="H212">
        <v>249</v>
      </c>
      <c r="I212">
        <v>30256</v>
      </c>
      <c r="J212">
        <v>47066</v>
      </c>
      <c r="K212">
        <v>196</v>
      </c>
      <c r="L212">
        <v>7.4861184558434685E-2</v>
      </c>
      <c r="M212">
        <v>189</v>
      </c>
      <c r="N212" t="s">
        <v>42</v>
      </c>
      <c r="O212">
        <f t="shared" si="3"/>
        <v>2265</v>
      </c>
    </row>
    <row r="213" spans="1:15">
      <c r="A213" t="s">
        <v>175</v>
      </c>
      <c r="B213" t="s">
        <v>24</v>
      </c>
      <c r="C213" s="27">
        <v>45569</v>
      </c>
      <c r="D213" t="s">
        <v>25</v>
      </c>
      <c r="E213" t="s">
        <v>20</v>
      </c>
      <c r="F213">
        <v>2870</v>
      </c>
      <c r="G213">
        <v>380</v>
      </c>
      <c r="H213">
        <v>393</v>
      </c>
      <c r="I213">
        <v>37621</v>
      </c>
      <c r="J213">
        <v>71794</v>
      </c>
      <c r="K213">
        <v>127</v>
      </c>
      <c r="L213">
        <v>9.6834214933149046E-2</v>
      </c>
      <c r="M213">
        <v>117</v>
      </c>
      <c r="N213" t="s">
        <v>377</v>
      </c>
      <c r="O213">
        <f t="shared" si="3"/>
        <v>3643</v>
      </c>
    </row>
    <row r="214" spans="1:15">
      <c r="A214" t="s">
        <v>175</v>
      </c>
      <c r="B214" t="s">
        <v>24</v>
      </c>
      <c r="C214" s="27">
        <v>45569</v>
      </c>
      <c r="D214" t="s">
        <v>25</v>
      </c>
      <c r="E214" t="s">
        <v>20</v>
      </c>
      <c r="F214">
        <v>2870</v>
      </c>
      <c r="G214">
        <v>380</v>
      </c>
      <c r="H214">
        <v>393</v>
      </c>
      <c r="I214">
        <v>37621</v>
      </c>
      <c r="J214">
        <v>71794</v>
      </c>
      <c r="K214">
        <v>127</v>
      </c>
      <c r="L214">
        <v>9.6834214933149046E-2</v>
      </c>
      <c r="M214">
        <v>117</v>
      </c>
      <c r="N214" t="s">
        <v>42</v>
      </c>
      <c r="O214">
        <f t="shared" si="3"/>
        <v>3643</v>
      </c>
    </row>
    <row r="215" spans="1:15">
      <c r="A215" t="s">
        <v>176</v>
      </c>
      <c r="B215" t="s">
        <v>24</v>
      </c>
      <c r="C215" s="27">
        <v>45615</v>
      </c>
      <c r="D215" t="s">
        <v>15</v>
      </c>
      <c r="E215" t="s">
        <v>41</v>
      </c>
      <c r="F215">
        <v>3728</v>
      </c>
      <c r="G215">
        <v>271</v>
      </c>
      <c r="H215">
        <v>275</v>
      </c>
      <c r="I215">
        <v>22827</v>
      </c>
      <c r="J215">
        <v>37034</v>
      </c>
      <c r="K215">
        <v>199</v>
      </c>
      <c r="L215">
        <v>0.18723441538528934</v>
      </c>
      <c r="M215">
        <v>9</v>
      </c>
      <c r="N215" t="s">
        <v>42</v>
      </c>
      <c r="O215">
        <f t="shared" si="3"/>
        <v>4274</v>
      </c>
    </row>
    <row r="216" spans="1:15">
      <c r="A216" t="s">
        <v>177</v>
      </c>
      <c r="B216" t="s">
        <v>24</v>
      </c>
      <c r="C216" s="27">
        <v>45387</v>
      </c>
      <c r="D216" t="s">
        <v>25</v>
      </c>
      <c r="E216" t="s">
        <v>26</v>
      </c>
      <c r="F216">
        <v>4965</v>
      </c>
      <c r="G216">
        <v>175</v>
      </c>
      <c r="H216">
        <v>307</v>
      </c>
      <c r="I216">
        <v>32793</v>
      </c>
      <c r="J216">
        <v>43412</v>
      </c>
      <c r="K216">
        <v>296</v>
      </c>
      <c r="L216">
        <v>0.16610252187966945</v>
      </c>
      <c r="M216">
        <v>21</v>
      </c>
      <c r="N216" t="s">
        <v>45</v>
      </c>
      <c r="O216">
        <f t="shared" si="3"/>
        <v>5447</v>
      </c>
    </row>
    <row r="217" spans="1:15">
      <c r="A217" t="s">
        <v>177</v>
      </c>
      <c r="B217" t="s">
        <v>24</v>
      </c>
      <c r="C217" s="27">
        <v>45387</v>
      </c>
      <c r="D217" t="s">
        <v>25</v>
      </c>
      <c r="E217" t="s">
        <v>26</v>
      </c>
      <c r="F217">
        <v>4965</v>
      </c>
      <c r="G217">
        <v>175</v>
      </c>
      <c r="H217">
        <v>307</v>
      </c>
      <c r="I217">
        <v>32793</v>
      </c>
      <c r="J217">
        <v>43412</v>
      </c>
      <c r="K217">
        <v>296</v>
      </c>
      <c r="L217">
        <v>0.16610252187966945</v>
      </c>
      <c r="M217">
        <v>21</v>
      </c>
      <c r="N217" t="s">
        <v>42</v>
      </c>
      <c r="O217">
        <f t="shared" si="3"/>
        <v>5447</v>
      </c>
    </row>
    <row r="218" spans="1:15">
      <c r="A218" t="s">
        <v>178</v>
      </c>
      <c r="B218" t="s">
        <v>24</v>
      </c>
      <c r="C218" s="27">
        <v>45624</v>
      </c>
      <c r="D218" t="s">
        <v>25</v>
      </c>
      <c r="E218" t="s">
        <v>26</v>
      </c>
      <c r="F218">
        <v>1131</v>
      </c>
      <c r="G218">
        <v>100</v>
      </c>
      <c r="H218">
        <v>116</v>
      </c>
      <c r="I218">
        <v>48437</v>
      </c>
      <c r="J218">
        <v>72704</v>
      </c>
      <c r="K218">
        <v>236</v>
      </c>
      <c r="L218">
        <v>2.7809319322005904E-2</v>
      </c>
      <c r="M218">
        <v>299</v>
      </c>
      <c r="N218" t="s">
        <v>21</v>
      </c>
      <c r="O218">
        <f t="shared" si="3"/>
        <v>1347</v>
      </c>
    </row>
    <row r="219" spans="1:15">
      <c r="A219" t="s">
        <v>178</v>
      </c>
      <c r="B219" t="s">
        <v>24</v>
      </c>
      <c r="C219" s="27">
        <v>45624</v>
      </c>
      <c r="D219" t="s">
        <v>25</v>
      </c>
      <c r="E219" t="s">
        <v>26</v>
      </c>
      <c r="F219">
        <v>1131</v>
      </c>
      <c r="G219">
        <v>100</v>
      </c>
      <c r="H219">
        <v>116</v>
      </c>
      <c r="I219">
        <v>48437</v>
      </c>
      <c r="J219">
        <v>72704</v>
      </c>
      <c r="K219">
        <v>236</v>
      </c>
      <c r="L219">
        <v>2.7809319322005904E-2</v>
      </c>
      <c r="M219">
        <v>299</v>
      </c>
      <c r="N219" t="s">
        <v>377</v>
      </c>
      <c r="O219">
        <f t="shared" si="3"/>
        <v>1347</v>
      </c>
    </row>
    <row r="220" spans="1:15">
      <c r="A220" t="s">
        <v>179</v>
      </c>
      <c r="B220" t="s">
        <v>24</v>
      </c>
      <c r="C220" s="27">
        <v>45725</v>
      </c>
      <c r="D220" t="s">
        <v>15</v>
      </c>
      <c r="E220" t="s">
        <v>51</v>
      </c>
      <c r="F220">
        <v>2754</v>
      </c>
      <c r="G220">
        <v>215</v>
      </c>
      <c r="H220">
        <v>264</v>
      </c>
      <c r="I220">
        <v>27762</v>
      </c>
      <c r="J220">
        <v>70203</v>
      </c>
      <c r="K220">
        <v>289</v>
      </c>
      <c r="L220">
        <v>0.11645414595490239</v>
      </c>
      <c r="M220">
        <v>69</v>
      </c>
      <c r="N220" t="s">
        <v>42</v>
      </c>
      <c r="O220">
        <f t="shared" si="3"/>
        <v>3233</v>
      </c>
    </row>
    <row r="221" spans="1:15">
      <c r="A221" t="s">
        <v>180</v>
      </c>
      <c r="B221" t="s">
        <v>24</v>
      </c>
      <c r="C221" s="27">
        <v>45531</v>
      </c>
      <c r="D221" t="s">
        <v>25</v>
      </c>
      <c r="E221" t="s">
        <v>26</v>
      </c>
      <c r="F221">
        <v>1856</v>
      </c>
      <c r="G221">
        <v>357</v>
      </c>
      <c r="H221">
        <v>348</v>
      </c>
      <c r="I221">
        <v>29428</v>
      </c>
      <c r="J221">
        <v>70206</v>
      </c>
      <c r="K221">
        <v>236</v>
      </c>
      <c r="L221">
        <v>8.702596166915863E-2</v>
      </c>
      <c r="M221">
        <v>146</v>
      </c>
      <c r="N221" t="s">
        <v>377</v>
      </c>
      <c r="O221">
        <f t="shared" si="3"/>
        <v>2561</v>
      </c>
    </row>
    <row r="222" spans="1:15">
      <c r="A222" t="s">
        <v>180</v>
      </c>
      <c r="B222" t="s">
        <v>24</v>
      </c>
      <c r="C222" s="27">
        <v>45531</v>
      </c>
      <c r="D222" t="s">
        <v>25</v>
      </c>
      <c r="E222" t="s">
        <v>26</v>
      </c>
      <c r="F222">
        <v>1856</v>
      </c>
      <c r="G222">
        <v>357</v>
      </c>
      <c r="H222">
        <v>348</v>
      </c>
      <c r="I222">
        <v>29428</v>
      </c>
      <c r="J222">
        <v>70206</v>
      </c>
      <c r="K222">
        <v>236</v>
      </c>
      <c r="L222">
        <v>8.702596166915863E-2</v>
      </c>
      <c r="M222">
        <v>146</v>
      </c>
      <c r="N222" t="s">
        <v>42</v>
      </c>
      <c r="O222">
        <f t="shared" si="3"/>
        <v>2561</v>
      </c>
    </row>
    <row r="223" spans="1:15">
      <c r="A223" t="s">
        <v>181</v>
      </c>
      <c r="B223" t="s">
        <v>31</v>
      </c>
      <c r="C223" s="27">
        <v>45566</v>
      </c>
      <c r="D223" t="s">
        <v>57</v>
      </c>
      <c r="E223" t="s">
        <v>20</v>
      </c>
      <c r="F223">
        <v>3543</v>
      </c>
      <c r="G223">
        <v>334</v>
      </c>
      <c r="H223">
        <v>218</v>
      </c>
      <c r="I223">
        <v>58007</v>
      </c>
      <c r="J223">
        <v>24792</v>
      </c>
      <c r="K223">
        <v>273</v>
      </c>
      <c r="L223">
        <v>7.0594928198320889E-2</v>
      </c>
      <c r="M223">
        <v>201</v>
      </c>
      <c r="N223" t="s">
        <v>21</v>
      </c>
      <c r="O223">
        <f t="shared" si="3"/>
        <v>4095</v>
      </c>
    </row>
    <row r="224" spans="1:15">
      <c r="A224" t="s">
        <v>181</v>
      </c>
      <c r="B224" t="s">
        <v>31</v>
      </c>
      <c r="C224" s="27">
        <v>45566</v>
      </c>
      <c r="D224" t="s">
        <v>57</v>
      </c>
      <c r="E224" t="s">
        <v>20</v>
      </c>
      <c r="F224">
        <v>3543</v>
      </c>
      <c r="G224">
        <v>334</v>
      </c>
      <c r="H224">
        <v>218</v>
      </c>
      <c r="I224">
        <v>58007</v>
      </c>
      <c r="J224">
        <v>24792</v>
      </c>
      <c r="K224">
        <v>273</v>
      </c>
      <c r="L224">
        <v>7.0594928198320889E-2</v>
      </c>
      <c r="M224">
        <v>201</v>
      </c>
      <c r="N224" t="s">
        <v>45</v>
      </c>
      <c r="O224">
        <f t="shared" si="3"/>
        <v>4095</v>
      </c>
    </row>
    <row r="225" spans="1:15">
      <c r="A225" t="s">
        <v>182</v>
      </c>
      <c r="B225" t="s">
        <v>14</v>
      </c>
      <c r="C225" s="27">
        <v>45647</v>
      </c>
      <c r="D225" t="s">
        <v>25</v>
      </c>
      <c r="E225" t="s">
        <v>26</v>
      </c>
      <c r="F225">
        <v>4563</v>
      </c>
      <c r="G225">
        <v>398</v>
      </c>
      <c r="H225">
        <v>163</v>
      </c>
      <c r="I225">
        <v>43679</v>
      </c>
      <c r="J225">
        <v>48760</v>
      </c>
      <c r="K225">
        <v>92</v>
      </c>
      <c r="L225">
        <v>0.11731037798484398</v>
      </c>
      <c r="M225">
        <v>67</v>
      </c>
      <c r="N225" t="s">
        <v>42</v>
      </c>
      <c r="O225">
        <f t="shared" si="3"/>
        <v>5124</v>
      </c>
    </row>
    <row r="226" spans="1:15">
      <c r="A226" t="s">
        <v>183</v>
      </c>
      <c r="B226" t="s">
        <v>14</v>
      </c>
      <c r="C226" s="27">
        <v>45460</v>
      </c>
      <c r="D226" t="s">
        <v>15</v>
      </c>
      <c r="E226" t="s">
        <v>16</v>
      </c>
      <c r="F226">
        <v>4283</v>
      </c>
      <c r="G226">
        <v>471</v>
      </c>
      <c r="H226">
        <v>156</v>
      </c>
      <c r="I226">
        <v>53004</v>
      </c>
      <c r="J226">
        <v>25678</v>
      </c>
      <c r="K226">
        <v>105</v>
      </c>
      <c r="L226">
        <v>9.2634518149573616E-2</v>
      </c>
      <c r="M226">
        <v>131</v>
      </c>
      <c r="N226" t="s">
        <v>21</v>
      </c>
      <c r="O226">
        <f t="shared" si="3"/>
        <v>4910</v>
      </c>
    </row>
    <row r="227" spans="1:15">
      <c r="A227" t="s">
        <v>184</v>
      </c>
      <c r="B227" t="s">
        <v>14</v>
      </c>
      <c r="C227" s="27">
        <v>45702</v>
      </c>
      <c r="D227" t="s">
        <v>15</v>
      </c>
      <c r="E227" t="s">
        <v>16</v>
      </c>
      <c r="F227">
        <v>2329</v>
      </c>
      <c r="G227">
        <v>373</v>
      </c>
      <c r="H227">
        <v>291</v>
      </c>
      <c r="I227">
        <v>49577</v>
      </c>
      <c r="J227">
        <v>28002</v>
      </c>
      <c r="K227">
        <v>82</v>
      </c>
      <c r="L227">
        <v>6.0370736430199488E-2</v>
      </c>
      <c r="M227">
        <v>222</v>
      </c>
      <c r="N227" t="s">
        <v>45</v>
      </c>
      <c r="O227">
        <f t="shared" si="3"/>
        <v>2993</v>
      </c>
    </row>
    <row r="228" spans="1:15">
      <c r="A228" t="s">
        <v>184</v>
      </c>
      <c r="B228" t="s">
        <v>14</v>
      </c>
      <c r="C228" s="27">
        <v>45702</v>
      </c>
      <c r="D228" t="s">
        <v>15</v>
      </c>
      <c r="E228" t="s">
        <v>16</v>
      </c>
      <c r="F228">
        <v>2329</v>
      </c>
      <c r="G228">
        <v>373</v>
      </c>
      <c r="H228">
        <v>291</v>
      </c>
      <c r="I228">
        <v>49577</v>
      </c>
      <c r="J228">
        <v>28002</v>
      </c>
      <c r="K228">
        <v>82</v>
      </c>
      <c r="L228">
        <v>6.0370736430199488E-2</v>
      </c>
      <c r="M228">
        <v>222</v>
      </c>
      <c r="N228" t="s">
        <v>42</v>
      </c>
      <c r="O228">
        <f t="shared" si="3"/>
        <v>2993</v>
      </c>
    </row>
    <row r="229" spans="1:15">
      <c r="A229" t="s">
        <v>185</v>
      </c>
      <c r="B229" t="s">
        <v>24</v>
      </c>
      <c r="C229" s="27">
        <v>45805</v>
      </c>
      <c r="D229" t="s">
        <v>25</v>
      </c>
      <c r="E229" t="s">
        <v>41</v>
      </c>
      <c r="F229">
        <v>4287</v>
      </c>
      <c r="G229">
        <v>273</v>
      </c>
      <c r="H229">
        <v>122</v>
      </c>
      <c r="I229">
        <v>40792</v>
      </c>
      <c r="J229">
        <v>23878</v>
      </c>
      <c r="K229">
        <v>277</v>
      </c>
      <c r="L229">
        <v>0.11477740733477153</v>
      </c>
      <c r="M229">
        <v>71</v>
      </c>
      <c r="N229" t="s">
        <v>377</v>
      </c>
      <c r="O229">
        <f t="shared" si="3"/>
        <v>4682</v>
      </c>
    </row>
    <row r="230" spans="1:15">
      <c r="A230" t="s">
        <v>185</v>
      </c>
      <c r="B230" t="s">
        <v>24</v>
      </c>
      <c r="C230" s="27">
        <v>45805</v>
      </c>
      <c r="D230" t="s">
        <v>25</v>
      </c>
      <c r="E230" t="s">
        <v>41</v>
      </c>
      <c r="F230">
        <v>4287</v>
      </c>
      <c r="G230">
        <v>273</v>
      </c>
      <c r="H230">
        <v>122</v>
      </c>
      <c r="I230">
        <v>40792</v>
      </c>
      <c r="J230">
        <v>23878</v>
      </c>
      <c r="K230">
        <v>277</v>
      </c>
      <c r="L230">
        <v>0.11477740733477153</v>
      </c>
      <c r="M230">
        <v>71</v>
      </c>
      <c r="N230" t="s">
        <v>42</v>
      </c>
      <c r="O230">
        <f t="shared" si="3"/>
        <v>4682</v>
      </c>
    </row>
    <row r="231" spans="1:15">
      <c r="A231" t="s">
        <v>186</v>
      </c>
      <c r="B231" t="s">
        <v>14</v>
      </c>
      <c r="C231" s="27">
        <v>45799</v>
      </c>
      <c r="D231" t="s">
        <v>15</v>
      </c>
      <c r="E231" t="s">
        <v>16</v>
      </c>
      <c r="F231">
        <v>2633</v>
      </c>
      <c r="G231">
        <v>318</v>
      </c>
      <c r="H231">
        <v>380</v>
      </c>
      <c r="I231">
        <v>40869</v>
      </c>
      <c r="J231">
        <v>64474</v>
      </c>
      <c r="K231">
        <v>245</v>
      </c>
      <c r="L231">
        <v>8.1504318676747664E-2</v>
      </c>
      <c r="M231">
        <v>172</v>
      </c>
      <c r="N231" t="s">
        <v>21</v>
      </c>
      <c r="O231">
        <f t="shared" si="3"/>
        <v>3331</v>
      </c>
    </row>
    <row r="232" spans="1:15">
      <c r="A232" t="s">
        <v>187</v>
      </c>
      <c r="B232" t="s">
        <v>24</v>
      </c>
      <c r="C232" s="27">
        <v>45312</v>
      </c>
      <c r="D232" t="s">
        <v>25</v>
      </c>
      <c r="E232" t="s">
        <v>16</v>
      </c>
      <c r="F232">
        <v>2383</v>
      </c>
      <c r="G232">
        <v>136</v>
      </c>
      <c r="H232">
        <v>302</v>
      </c>
      <c r="I232">
        <v>39187</v>
      </c>
      <c r="J232">
        <v>22133</v>
      </c>
      <c r="K232">
        <v>208</v>
      </c>
      <c r="L232">
        <v>7.1988159338556151E-2</v>
      </c>
      <c r="M232">
        <v>196</v>
      </c>
      <c r="N232" t="s">
        <v>377</v>
      </c>
      <c r="O232">
        <f t="shared" si="3"/>
        <v>2821</v>
      </c>
    </row>
    <row r="233" spans="1:15">
      <c r="A233" t="s">
        <v>187</v>
      </c>
      <c r="B233" t="s">
        <v>24</v>
      </c>
      <c r="C233" s="27">
        <v>45312</v>
      </c>
      <c r="D233" t="s">
        <v>25</v>
      </c>
      <c r="E233" t="s">
        <v>16</v>
      </c>
      <c r="F233">
        <v>2383</v>
      </c>
      <c r="G233">
        <v>136</v>
      </c>
      <c r="H233">
        <v>302</v>
      </c>
      <c r="I233">
        <v>39187</v>
      </c>
      <c r="J233">
        <v>22133</v>
      </c>
      <c r="K233">
        <v>208</v>
      </c>
      <c r="L233">
        <v>7.1988159338556151E-2</v>
      </c>
      <c r="M233">
        <v>196</v>
      </c>
      <c r="N233" t="s">
        <v>42</v>
      </c>
      <c r="O233">
        <f t="shared" si="3"/>
        <v>2821</v>
      </c>
    </row>
    <row r="234" spans="1:15">
      <c r="A234" t="s">
        <v>188</v>
      </c>
      <c r="B234" t="s">
        <v>24</v>
      </c>
      <c r="C234" s="27">
        <v>45696</v>
      </c>
      <c r="D234" t="s">
        <v>25</v>
      </c>
      <c r="E234" t="s">
        <v>51</v>
      </c>
      <c r="F234">
        <v>4752</v>
      </c>
      <c r="G234">
        <v>334</v>
      </c>
      <c r="H234">
        <v>56</v>
      </c>
      <c r="I234">
        <v>48017</v>
      </c>
      <c r="J234">
        <v>55534</v>
      </c>
      <c r="K234">
        <v>270</v>
      </c>
      <c r="L234">
        <v>0.10708707332819627</v>
      </c>
      <c r="M234">
        <v>92</v>
      </c>
      <c r="N234" t="s">
        <v>21</v>
      </c>
      <c r="O234">
        <f t="shared" si="3"/>
        <v>5142</v>
      </c>
    </row>
    <row r="235" spans="1:15">
      <c r="A235" t="s">
        <v>188</v>
      </c>
      <c r="B235" t="s">
        <v>24</v>
      </c>
      <c r="C235" s="27">
        <v>45696</v>
      </c>
      <c r="D235" t="s">
        <v>25</v>
      </c>
      <c r="E235" t="s">
        <v>51</v>
      </c>
      <c r="F235">
        <v>4752</v>
      </c>
      <c r="G235">
        <v>334</v>
      </c>
      <c r="H235">
        <v>56</v>
      </c>
      <c r="I235">
        <v>48017</v>
      </c>
      <c r="J235">
        <v>55534</v>
      </c>
      <c r="K235">
        <v>270</v>
      </c>
      <c r="L235">
        <v>0.10708707332819627</v>
      </c>
      <c r="M235">
        <v>92</v>
      </c>
      <c r="N235" t="s">
        <v>377</v>
      </c>
      <c r="O235">
        <f t="shared" si="3"/>
        <v>5142</v>
      </c>
    </row>
    <row r="236" spans="1:15">
      <c r="A236" t="s">
        <v>189</v>
      </c>
      <c r="B236" t="s">
        <v>24</v>
      </c>
      <c r="C236" s="27">
        <v>45760</v>
      </c>
      <c r="D236" t="s">
        <v>15</v>
      </c>
      <c r="E236" t="s">
        <v>374</v>
      </c>
      <c r="F236">
        <v>3890</v>
      </c>
      <c r="G236">
        <v>408</v>
      </c>
      <c r="H236">
        <v>338</v>
      </c>
      <c r="I236">
        <v>56994</v>
      </c>
      <c r="J236">
        <v>32621</v>
      </c>
      <c r="K236">
        <v>286</v>
      </c>
      <c r="L236">
        <v>8.1341895638137346E-2</v>
      </c>
      <c r="M236">
        <v>173</v>
      </c>
      <c r="N236" t="s">
        <v>45</v>
      </c>
      <c r="O236">
        <f t="shared" si="3"/>
        <v>4636</v>
      </c>
    </row>
    <row r="237" spans="1:15">
      <c r="A237" t="s">
        <v>190</v>
      </c>
      <c r="B237" t="s">
        <v>24</v>
      </c>
      <c r="C237" s="27">
        <v>45442</v>
      </c>
      <c r="D237" t="s">
        <v>25</v>
      </c>
      <c r="E237" t="s">
        <v>51</v>
      </c>
      <c r="F237">
        <v>2311</v>
      </c>
      <c r="G237">
        <v>207</v>
      </c>
      <c r="H237">
        <v>363</v>
      </c>
      <c r="I237">
        <v>30349</v>
      </c>
      <c r="J237">
        <v>32925</v>
      </c>
      <c r="K237">
        <v>88</v>
      </c>
      <c r="L237">
        <v>9.4928992718046723E-2</v>
      </c>
      <c r="M237">
        <v>120</v>
      </c>
      <c r="N237" t="s">
        <v>377</v>
      </c>
      <c r="O237">
        <f t="shared" si="3"/>
        <v>2881</v>
      </c>
    </row>
    <row r="238" spans="1:15">
      <c r="A238" t="s">
        <v>190</v>
      </c>
      <c r="B238" t="s">
        <v>24</v>
      </c>
      <c r="C238" s="27">
        <v>45442</v>
      </c>
      <c r="D238" t="s">
        <v>25</v>
      </c>
      <c r="E238" t="s">
        <v>51</v>
      </c>
      <c r="F238">
        <v>2311</v>
      </c>
      <c r="G238">
        <v>207</v>
      </c>
      <c r="H238">
        <v>363</v>
      </c>
      <c r="I238">
        <v>30349</v>
      </c>
      <c r="J238">
        <v>32925</v>
      </c>
      <c r="K238">
        <v>88</v>
      </c>
      <c r="L238">
        <v>9.4928992718046723E-2</v>
      </c>
      <c r="M238">
        <v>120</v>
      </c>
      <c r="N238" t="s">
        <v>42</v>
      </c>
      <c r="O238">
        <f t="shared" si="3"/>
        <v>2881</v>
      </c>
    </row>
    <row r="239" spans="1:15">
      <c r="A239" t="s">
        <v>191</v>
      </c>
      <c r="B239" t="s">
        <v>14</v>
      </c>
      <c r="C239" s="27">
        <v>45516</v>
      </c>
      <c r="D239" t="s">
        <v>25</v>
      </c>
      <c r="E239" t="s">
        <v>16</v>
      </c>
      <c r="F239">
        <v>2962</v>
      </c>
      <c r="G239">
        <v>400</v>
      </c>
      <c r="H239">
        <v>280</v>
      </c>
      <c r="I239">
        <v>52508</v>
      </c>
      <c r="J239">
        <v>58329</v>
      </c>
      <c r="K239">
        <v>219</v>
      </c>
      <c r="L239">
        <v>6.9360859297630834E-2</v>
      </c>
      <c r="M239">
        <v>204</v>
      </c>
      <c r="N239" t="s">
        <v>42</v>
      </c>
      <c r="O239">
        <f t="shared" si="3"/>
        <v>3642</v>
      </c>
    </row>
    <row r="240" spans="1:15">
      <c r="A240" t="s">
        <v>192</v>
      </c>
      <c r="B240" t="s">
        <v>14</v>
      </c>
      <c r="C240" s="27">
        <v>45562</v>
      </c>
      <c r="D240" t="s">
        <v>15</v>
      </c>
      <c r="E240" t="s">
        <v>16</v>
      </c>
      <c r="F240">
        <v>3118</v>
      </c>
      <c r="G240">
        <v>116</v>
      </c>
      <c r="H240">
        <v>195</v>
      </c>
      <c r="I240">
        <v>37100</v>
      </c>
      <c r="J240">
        <v>62629</v>
      </c>
      <c r="K240">
        <v>272</v>
      </c>
      <c r="L240">
        <v>9.2425876010781671E-2</v>
      </c>
      <c r="M240">
        <v>133</v>
      </c>
      <c r="N240" t="s">
        <v>21</v>
      </c>
      <c r="O240">
        <f t="shared" si="3"/>
        <v>3429</v>
      </c>
    </row>
    <row r="241" spans="1:15">
      <c r="A241" t="s">
        <v>193</v>
      </c>
      <c r="B241" t="s">
        <v>24</v>
      </c>
      <c r="C241" s="27">
        <v>45819</v>
      </c>
      <c r="D241" t="s">
        <v>25</v>
      </c>
      <c r="E241" t="s">
        <v>20</v>
      </c>
      <c r="F241">
        <v>3805</v>
      </c>
      <c r="G241">
        <v>453</v>
      </c>
      <c r="H241">
        <v>63</v>
      </c>
      <c r="I241">
        <v>52395</v>
      </c>
      <c r="J241">
        <v>72934</v>
      </c>
      <c r="K241">
        <v>87</v>
      </c>
      <c r="L241">
        <v>8.2469701307376658E-2</v>
      </c>
      <c r="M241">
        <v>168</v>
      </c>
      <c r="N241" t="s">
        <v>21</v>
      </c>
      <c r="O241">
        <f t="shared" si="3"/>
        <v>4321</v>
      </c>
    </row>
    <row r="242" spans="1:15">
      <c r="A242" t="s">
        <v>193</v>
      </c>
      <c r="B242" t="s">
        <v>24</v>
      </c>
      <c r="C242" s="27">
        <v>45819</v>
      </c>
      <c r="D242" t="s">
        <v>25</v>
      </c>
      <c r="E242" t="s">
        <v>20</v>
      </c>
      <c r="F242">
        <v>3805</v>
      </c>
      <c r="G242">
        <v>453</v>
      </c>
      <c r="H242">
        <v>63</v>
      </c>
      <c r="I242">
        <v>52395</v>
      </c>
      <c r="J242">
        <v>72934</v>
      </c>
      <c r="K242">
        <v>87</v>
      </c>
      <c r="L242">
        <v>8.2469701307376658E-2</v>
      </c>
      <c r="M242">
        <v>168</v>
      </c>
      <c r="N242" t="s">
        <v>377</v>
      </c>
      <c r="O242">
        <f t="shared" si="3"/>
        <v>4321</v>
      </c>
    </row>
    <row r="243" spans="1:15">
      <c r="A243" t="s">
        <v>194</v>
      </c>
      <c r="B243" t="s">
        <v>14</v>
      </c>
      <c r="C243" s="27">
        <v>45615</v>
      </c>
      <c r="D243" t="s">
        <v>15</v>
      </c>
      <c r="E243" t="s">
        <v>373</v>
      </c>
      <c r="F243">
        <v>2525</v>
      </c>
      <c r="G243">
        <v>272</v>
      </c>
      <c r="H243">
        <v>294</v>
      </c>
      <c r="I243">
        <v>51875</v>
      </c>
      <c r="J243">
        <v>24732</v>
      </c>
      <c r="K243">
        <v>92</v>
      </c>
      <c r="L243">
        <v>5.9585542168674697E-2</v>
      </c>
      <c r="M243">
        <v>225</v>
      </c>
      <c r="N243" t="s">
        <v>21</v>
      </c>
      <c r="O243">
        <f t="shared" si="3"/>
        <v>3091</v>
      </c>
    </row>
    <row r="244" spans="1:15">
      <c r="A244" t="s">
        <v>195</v>
      </c>
      <c r="B244" t="s">
        <v>14</v>
      </c>
      <c r="C244" s="27">
        <v>45407</v>
      </c>
      <c r="D244" t="s">
        <v>15</v>
      </c>
      <c r="E244" t="s">
        <v>375</v>
      </c>
      <c r="F244">
        <v>3563</v>
      </c>
      <c r="G244">
        <v>483</v>
      </c>
      <c r="H244">
        <v>227</v>
      </c>
      <c r="I244">
        <v>41085</v>
      </c>
      <c r="J244">
        <v>26393</v>
      </c>
      <c r="K244">
        <v>236</v>
      </c>
      <c r="L244">
        <v>0.10400389436534015</v>
      </c>
      <c r="M244">
        <v>100</v>
      </c>
      <c r="N244" t="s">
        <v>45</v>
      </c>
      <c r="O244">
        <f t="shared" si="3"/>
        <v>4273</v>
      </c>
    </row>
    <row r="245" spans="1:15">
      <c r="A245" t="s">
        <v>195</v>
      </c>
      <c r="B245" t="s">
        <v>14</v>
      </c>
      <c r="C245" s="27">
        <v>45407</v>
      </c>
      <c r="D245" t="s">
        <v>15</v>
      </c>
      <c r="E245" t="s">
        <v>375</v>
      </c>
      <c r="F245">
        <v>3563</v>
      </c>
      <c r="G245">
        <v>483</v>
      </c>
      <c r="H245">
        <v>227</v>
      </c>
      <c r="I245">
        <v>41085</v>
      </c>
      <c r="J245">
        <v>26393</v>
      </c>
      <c r="K245">
        <v>236</v>
      </c>
      <c r="L245">
        <v>0.10400389436534015</v>
      </c>
      <c r="M245">
        <v>100</v>
      </c>
      <c r="N245" t="s">
        <v>42</v>
      </c>
      <c r="O245">
        <f t="shared" si="3"/>
        <v>4273</v>
      </c>
    </row>
    <row r="246" spans="1:15">
      <c r="A246" t="s">
        <v>196</v>
      </c>
      <c r="B246" t="s">
        <v>31</v>
      </c>
      <c r="C246" s="27">
        <v>45538</v>
      </c>
      <c r="D246" t="s">
        <v>57</v>
      </c>
      <c r="E246" t="s">
        <v>373</v>
      </c>
      <c r="F246">
        <v>1437</v>
      </c>
      <c r="G246">
        <v>494</v>
      </c>
      <c r="H246">
        <v>129</v>
      </c>
      <c r="I246">
        <v>53048</v>
      </c>
      <c r="J246">
        <v>44090</v>
      </c>
      <c r="K246">
        <v>230</v>
      </c>
      <c r="L246">
        <v>3.8832755240536872E-2</v>
      </c>
      <c r="M246">
        <v>281</v>
      </c>
      <c r="N246" t="s">
        <v>21</v>
      </c>
      <c r="O246">
        <f t="shared" si="3"/>
        <v>2060</v>
      </c>
    </row>
    <row r="247" spans="1:15">
      <c r="A247" t="s">
        <v>196</v>
      </c>
      <c r="B247" t="s">
        <v>31</v>
      </c>
      <c r="C247" s="27">
        <v>45538</v>
      </c>
      <c r="D247" t="s">
        <v>57</v>
      </c>
      <c r="E247" t="s">
        <v>373</v>
      </c>
      <c r="F247">
        <v>1437</v>
      </c>
      <c r="G247">
        <v>494</v>
      </c>
      <c r="H247">
        <v>129</v>
      </c>
      <c r="I247">
        <v>53048</v>
      </c>
      <c r="J247">
        <v>44090</v>
      </c>
      <c r="K247">
        <v>230</v>
      </c>
      <c r="L247">
        <v>3.8832755240536872E-2</v>
      </c>
      <c r="M247">
        <v>281</v>
      </c>
      <c r="N247" t="s">
        <v>45</v>
      </c>
      <c r="O247">
        <f t="shared" si="3"/>
        <v>2060</v>
      </c>
    </row>
    <row r="248" spans="1:15">
      <c r="A248" t="s">
        <v>197</v>
      </c>
      <c r="B248" t="s">
        <v>31</v>
      </c>
      <c r="C248" s="27">
        <v>45718</v>
      </c>
      <c r="D248" t="s">
        <v>15</v>
      </c>
      <c r="E248" t="s">
        <v>374</v>
      </c>
      <c r="F248">
        <v>4425</v>
      </c>
      <c r="G248">
        <v>185</v>
      </c>
      <c r="H248">
        <v>162</v>
      </c>
      <c r="I248">
        <v>24610</v>
      </c>
      <c r="J248">
        <v>21342</v>
      </c>
      <c r="K248">
        <v>158</v>
      </c>
      <c r="L248">
        <v>0.19390491670052823</v>
      </c>
      <c r="M248">
        <v>7</v>
      </c>
      <c r="N248" t="s">
        <v>21</v>
      </c>
      <c r="O248">
        <f t="shared" si="3"/>
        <v>4772</v>
      </c>
    </row>
    <row r="249" spans="1:15">
      <c r="A249" t="s">
        <v>197</v>
      </c>
      <c r="B249" t="s">
        <v>31</v>
      </c>
      <c r="C249" s="27">
        <v>45718</v>
      </c>
      <c r="D249" t="s">
        <v>15</v>
      </c>
      <c r="E249" t="s">
        <v>374</v>
      </c>
      <c r="F249">
        <v>4425</v>
      </c>
      <c r="G249">
        <v>185</v>
      </c>
      <c r="H249">
        <v>162</v>
      </c>
      <c r="I249">
        <v>24610</v>
      </c>
      <c r="J249">
        <v>21342</v>
      </c>
      <c r="K249">
        <v>158</v>
      </c>
      <c r="L249">
        <v>0.19390491670052823</v>
      </c>
      <c r="M249">
        <v>7</v>
      </c>
      <c r="N249" t="s">
        <v>378</v>
      </c>
      <c r="O249">
        <f t="shared" si="3"/>
        <v>4772</v>
      </c>
    </row>
    <row r="250" spans="1:15">
      <c r="A250" t="s">
        <v>198</v>
      </c>
      <c r="B250" t="s">
        <v>24</v>
      </c>
      <c r="C250" s="27">
        <v>45737</v>
      </c>
      <c r="D250" t="s">
        <v>25</v>
      </c>
      <c r="E250" t="s">
        <v>26</v>
      </c>
      <c r="F250">
        <v>4609</v>
      </c>
      <c r="G250">
        <v>427</v>
      </c>
      <c r="H250">
        <v>395</v>
      </c>
      <c r="I250">
        <v>33698</v>
      </c>
      <c r="J250">
        <v>29259</v>
      </c>
      <c r="K250">
        <v>216</v>
      </c>
      <c r="L250">
        <v>0.16116683482699271</v>
      </c>
      <c r="M250">
        <v>27</v>
      </c>
      <c r="N250" t="s">
        <v>21</v>
      </c>
      <c r="O250">
        <f t="shared" si="3"/>
        <v>5431</v>
      </c>
    </row>
    <row r="251" spans="1:15">
      <c r="A251" t="s">
        <v>198</v>
      </c>
      <c r="B251" t="s">
        <v>24</v>
      </c>
      <c r="C251" s="27">
        <v>45737</v>
      </c>
      <c r="D251" t="s">
        <v>25</v>
      </c>
      <c r="E251" t="s">
        <v>26</v>
      </c>
      <c r="F251">
        <v>4609</v>
      </c>
      <c r="G251">
        <v>427</v>
      </c>
      <c r="H251">
        <v>395</v>
      </c>
      <c r="I251">
        <v>33698</v>
      </c>
      <c r="J251">
        <v>29259</v>
      </c>
      <c r="K251">
        <v>216</v>
      </c>
      <c r="L251">
        <v>0.16116683482699271</v>
      </c>
      <c r="M251">
        <v>27</v>
      </c>
      <c r="N251" t="s">
        <v>377</v>
      </c>
      <c r="O251">
        <f t="shared" si="3"/>
        <v>5431</v>
      </c>
    </row>
    <row r="252" spans="1:15">
      <c r="A252" t="s">
        <v>199</v>
      </c>
      <c r="B252" t="s">
        <v>14</v>
      </c>
      <c r="C252" s="27">
        <v>45394</v>
      </c>
      <c r="D252" t="s">
        <v>25</v>
      </c>
      <c r="E252" t="s">
        <v>37</v>
      </c>
      <c r="F252">
        <v>1558</v>
      </c>
      <c r="G252">
        <v>352</v>
      </c>
      <c r="H252">
        <v>202</v>
      </c>
      <c r="I252">
        <v>25405</v>
      </c>
      <c r="J252">
        <v>69941</v>
      </c>
      <c r="K252">
        <v>219</v>
      </c>
      <c r="L252">
        <v>8.3133241487896081E-2</v>
      </c>
      <c r="M252">
        <v>164</v>
      </c>
      <c r="N252" t="s">
        <v>42</v>
      </c>
      <c r="O252">
        <f t="shared" si="3"/>
        <v>2112</v>
      </c>
    </row>
    <row r="253" spans="1:15">
      <c r="A253" t="s">
        <v>200</v>
      </c>
      <c r="B253" t="s">
        <v>31</v>
      </c>
      <c r="C253" s="27">
        <v>45330</v>
      </c>
      <c r="D253" t="s">
        <v>57</v>
      </c>
      <c r="E253" t="s">
        <v>41</v>
      </c>
      <c r="F253">
        <v>1889</v>
      </c>
      <c r="G253">
        <v>298</v>
      </c>
      <c r="H253">
        <v>122</v>
      </c>
      <c r="I253">
        <v>46225</v>
      </c>
      <c r="J253">
        <v>74305</v>
      </c>
      <c r="K253">
        <v>293</v>
      </c>
      <c r="L253">
        <v>4.9951325040562468E-2</v>
      </c>
      <c r="M253">
        <v>255</v>
      </c>
      <c r="N253" t="s">
        <v>21</v>
      </c>
      <c r="O253">
        <f t="shared" si="3"/>
        <v>2309</v>
      </c>
    </row>
    <row r="254" spans="1:15">
      <c r="A254" t="s">
        <v>200</v>
      </c>
      <c r="B254" t="s">
        <v>31</v>
      </c>
      <c r="C254" s="27">
        <v>45330</v>
      </c>
      <c r="D254" t="s">
        <v>57</v>
      </c>
      <c r="E254" t="s">
        <v>41</v>
      </c>
      <c r="F254">
        <v>1889</v>
      </c>
      <c r="G254">
        <v>298</v>
      </c>
      <c r="H254">
        <v>122</v>
      </c>
      <c r="I254">
        <v>46225</v>
      </c>
      <c r="J254">
        <v>74305</v>
      </c>
      <c r="K254">
        <v>293</v>
      </c>
      <c r="L254">
        <v>4.9951325040562468E-2</v>
      </c>
      <c r="M254">
        <v>255</v>
      </c>
      <c r="N254" t="s">
        <v>45</v>
      </c>
      <c r="O254">
        <f t="shared" si="3"/>
        <v>2309</v>
      </c>
    </row>
    <row r="255" spans="1:15">
      <c r="A255" t="s">
        <v>201</v>
      </c>
      <c r="B255" t="s">
        <v>14</v>
      </c>
      <c r="C255" s="27">
        <v>45803</v>
      </c>
      <c r="D255" t="s">
        <v>15</v>
      </c>
      <c r="E255" t="s">
        <v>16</v>
      </c>
      <c r="F255">
        <v>3086</v>
      </c>
      <c r="G255">
        <v>148</v>
      </c>
      <c r="H255">
        <v>310</v>
      </c>
      <c r="I255">
        <v>22824</v>
      </c>
      <c r="J255">
        <v>58103</v>
      </c>
      <c r="K255">
        <v>275</v>
      </c>
      <c r="L255">
        <v>0.1552751489660007</v>
      </c>
      <c r="M255">
        <v>32</v>
      </c>
      <c r="N255" t="s">
        <v>21</v>
      </c>
      <c r="O255">
        <f t="shared" si="3"/>
        <v>3544</v>
      </c>
    </row>
    <row r="256" spans="1:15">
      <c r="A256" t="s">
        <v>202</v>
      </c>
      <c r="B256" t="s">
        <v>14</v>
      </c>
      <c r="C256" s="27">
        <v>45610</v>
      </c>
      <c r="D256" t="s">
        <v>15</v>
      </c>
      <c r="E256" t="s">
        <v>375</v>
      </c>
      <c r="F256">
        <v>2422</v>
      </c>
      <c r="G256">
        <v>318</v>
      </c>
      <c r="H256">
        <v>118</v>
      </c>
      <c r="I256">
        <v>25386</v>
      </c>
      <c r="J256">
        <v>20873</v>
      </c>
      <c r="K256">
        <v>100</v>
      </c>
      <c r="L256">
        <v>0.11258173796580792</v>
      </c>
      <c r="M256">
        <v>76</v>
      </c>
      <c r="N256" t="s">
        <v>45</v>
      </c>
      <c r="O256">
        <f t="shared" si="3"/>
        <v>2858</v>
      </c>
    </row>
    <row r="257" spans="1:15">
      <c r="A257" t="s">
        <v>202</v>
      </c>
      <c r="B257" t="s">
        <v>14</v>
      </c>
      <c r="C257" s="27">
        <v>45610</v>
      </c>
      <c r="D257" t="s">
        <v>15</v>
      </c>
      <c r="E257" t="s">
        <v>375</v>
      </c>
      <c r="F257">
        <v>2422</v>
      </c>
      <c r="G257">
        <v>318</v>
      </c>
      <c r="H257">
        <v>118</v>
      </c>
      <c r="I257">
        <v>25386</v>
      </c>
      <c r="J257">
        <v>20873</v>
      </c>
      <c r="K257">
        <v>100</v>
      </c>
      <c r="L257">
        <v>0.11258173796580792</v>
      </c>
      <c r="M257">
        <v>76</v>
      </c>
      <c r="N257" t="s">
        <v>42</v>
      </c>
      <c r="O257">
        <f t="shared" si="3"/>
        <v>2858</v>
      </c>
    </row>
    <row r="258" spans="1:15">
      <c r="A258" t="s">
        <v>203</v>
      </c>
      <c r="B258" t="s">
        <v>31</v>
      </c>
      <c r="C258" s="27">
        <v>45513</v>
      </c>
      <c r="D258" t="s">
        <v>57</v>
      </c>
      <c r="E258" t="s">
        <v>374</v>
      </c>
      <c r="F258">
        <v>3414</v>
      </c>
      <c r="G258">
        <v>154</v>
      </c>
      <c r="H258">
        <v>204</v>
      </c>
      <c r="I258">
        <v>34146</v>
      </c>
      <c r="J258">
        <v>44633</v>
      </c>
      <c r="K258">
        <v>256</v>
      </c>
      <c r="L258">
        <v>0.11046681895390383</v>
      </c>
      <c r="M258">
        <v>81</v>
      </c>
      <c r="N258" t="s">
        <v>21</v>
      </c>
      <c r="O258">
        <f t="shared" ref="O258:O321" si="4" xml:space="preserve"> F258 + G258+H258</f>
        <v>3772</v>
      </c>
    </row>
    <row r="259" spans="1:15">
      <c r="A259" t="s">
        <v>203</v>
      </c>
      <c r="B259" t="s">
        <v>31</v>
      </c>
      <c r="C259" s="27">
        <v>45513</v>
      </c>
      <c r="D259" t="s">
        <v>57</v>
      </c>
      <c r="E259" t="s">
        <v>374</v>
      </c>
      <c r="F259">
        <v>3414</v>
      </c>
      <c r="G259">
        <v>154</v>
      </c>
      <c r="H259">
        <v>204</v>
      </c>
      <c r="I259">
        <v>34146</v>
      </c>
      <c r="J259">
        <v>44633</v>
      </c>
      <c r="K259">
        <v>256</v>
      </c>
      <c r="L259">
        <v>0.11046681895390383</v>
      </c>
      <c r="M259">
        <v>81</v>
      </c>
      <c r="N259" t="s">
        <v>45</v>
      </c>
      <c r="O259">
        <f t="shared" si="4"/>
        <v>3772</v>
      </c>
    </row>
    <row r="260" spans="1:15">
      <c r="A260" t="s">
        <v>204</v>
      </c>
      <c r="B260" t="s">
        <v>14</v>
      </c>
      <c r="C260" s="27">
        <v>45835</v>
      </c>
      <c r="D260" t="s">
        <v>25</v>
      </c>
      <c r="E260" t="s">
        <v>373</v>
      </c>
      <c r="F260">
        <v>1342</v>
      </c>
      <c r="G260">
        <v>332</v>
      </c>
      <c r="H260">
        <v>163</v>
      </c>
      <c r="I260">
        <v>51712</v>
      </c>
      <c r="J260">
        <v>57922</v>
      </c>
      <c r="K260">
        <v>168</v>
      </c>
      <c r="L260">
        <v>3.5523669554455448E-2</v>
      </c>
      <c r="M260">
        <v>286</v>
      </c>
      <c r="N260" t="s">
        <v>42</v>
      </c>
      <c r="O260">
        <f t="shared" si="4"/>
        <v>1837</v>
      </c>
    </row>
    <row r="261" spans="1:15">
      <c r="A261" t="s">
        <v>205</v>
      </c>
      <c r="B261" t="s">
        <v>14</v>
      </c>
      <c r="C261" s="27">
        <v>45420</v>
      </c>
      <c r="D261" t="s">
        <v>25</v>
      </c>
      <c r="E261" t="s">
        <v>375</v>
      </c>
      <c r="F261">
        <v>2414</v>
      </c>
      <c r="G261">
        <v>220</v>
      </c>
      <c r="H261">
        <v>280</v>
      </c>
      <c r="I261">
        <v>27355</v>
      </c>
      <c r="J261">
        <v>50562</v>
      </c>
      <c r="K261">
        <v>258</v>
      </c>
      <c r="L261">
        <v>0.10652531529884847</v>
      </c>
      <c r="M261">
        <v>94</v>
      </c>
      <c r="N261" t="s">
        <v>42</v>
      </c>
      <c r="O261">
        <f t="shared" si="4"/>
        <v>2914</v>
      </c>
    </row>
    <row r="262" spans="1:15">
      <c r="A262" t="s">
        <v>206</v>
      </c>
      <c r="B262" t="s">
        <v>14</v>
      </c>
      <c r="C262" s="27">
        <v>45387</v>
      </c>
      <c r="D262" t="s">
        <v>15</v>
      </c>
      <c r="E262" t="s">
        <v>26</v>
      </c>
      <c r="F262">
        <v>4383</v>
      </c>
      <c r="G262">
        <v>352</v>
      </c>
      <c r="H262">
        <v>176</v>
      </c>
      <c r="I262">
        <v>53239</v>
      </c>
      <c r="J262">
        <v>34168</v>
      </c>
      <c r="K262">
        <v>288</v>
      </c>
      <c r="L262">
        <v>9.2244407295403744E-2</v>
      </c>
      <c r="M262">
        <v>134</v>
      </c>
      <c r="N262" t="s">
        <v>21</v>
      </c>
      <c r="O262">
        <f t="shared" si="4"/>
        <v>4911</v>
      </c>
    </row>
    <row r="263" spans="1:15">
      <c r="A263" t="s">
        <v>207</v>
      </c>
      <c r="B263" t="s">
        <v>31</v>
      </c>
      <c r="C263" s="27">
        <v>45684</v>
      </c>
      <c r="D263" t="s">
        <v>15</v>
      </c>
      <c r="E263" t="s">
        <v>376</v>
      </c>
      <c r="F263">
        <v>4294</v>
      </c>
      <c r="G263">
        <v>423</v>
      </c>
      <c r="H263">
        <v>93</v>
      </c>
      <c r="I263">
        <v>29828</v>
      </c>
      <c r="J263">
        <v>73144</v>
      </c>
      <c r="K263">
        <v>298</v>
      </c>
      <c r="L263">
        <v>0.1612578785034196</v>
      </c>
      <c r="M263">
        <v>26</v>
      </c>
      <c r="N263" t="s">
        <v>21</v>
      </c>
      <c r="O263">
        <f t="shared" si="4"/>
        <v>4810</v>
      </c>
    </row>
    <row r="264" spans="1:15">
      <c r="A264" t="s">
        <v>207</v>
      </c>
      <c r="B264" t="s">
        <v>31</v>
      </c>
      <c r="C264" s="27">
        <v>45684</v>
      </c>
      <c r="D264" t="s">
        <v>15</v>
      </c>
      <c r="E264" t="s">
        <v>376</v>
      </c>
      <c r="F264">
        <v>4294</v>
      </c>
      <c r="G264">
        <v>423</v>
      </c>
      <c r="H264">
        <v>93</v>
      </c>
      <c r="I264">
        <v>29828</v>
      </c>
      <c r="J264">
        <v>73144</v>
      </c>
      <c r="K264">
        <v>298</v>
      </c>
      <c r="L264">
        <v>0.1612578785034196</v>
      </c>
      <c r="M264">
        <v>26</v>
      </c>
      <c r="N264" t="s">
        <v>378</v>
      </c>
      <c r="O264">
        <f t="shared" si="4"/>
        <v>4810</v>
      </c>
    </row>
    <row r="265" spans="1:15">
      <c r="A265" t="s">
        <v>208</v>
      </c>
      <c r="B265" t="s">
        <v>14</v>
      </c>
      <c r="C265" s="27">
        <v>45385</v>
      </c>
      <c r="D265" t="s">
        <v>15</v>
      </c>
      <c r="E265" t="s">
        <v>41</v>
      </c>
      <c r="F265">
        <v>2762</v>
      </c>
      <c r="G265">
        <v>339</v>
      </c>
      <c r="H265">
        <v>323</v>
      </c>
      <c r="I265">
        <v>33757</v>
      </c>
      <c r="J265">
        <v>68511</v>
      </c>
      <c r="K265">
        <v>121</v>
      </c>
      <c r="L265">
        <v>0.10143081434961637</v>
      </c>
      <c r="M265">
        <v>106</v>
      </c>
      <c r="N265" t="s">
        <v>45</v>
      </c>
      <c r="O265">
        <f t="shared" si="4"/>
        <v>3424</v>
      </c>
    </row>
    <row r="266" spans="1:15">
      <c r="A266" t="s">
        <v>208</v>
      </c>
      <c r="B266" t="s">
        <v>14</v>
      </c>
      <c r="C266" s="27">
        <v>45385</v>
      </c>
      <c r="D266" t="s">
        <v>15</v>
      </c>
      <c r="E266" t="s">
        <v>41</v>
      </c>
      <c r="F266">
        <v>2762</v>
      </c>
      <c r="G266">
        <v>339</v>
      </c>
      <c r="H266">
        <v>323</v>
      </c>
      <c r="I266">
        <v>33757</v>
      </c>
      <c r="J266">
        <v>68511</v>
      </c>
      <c r="K266">
        <v>121</v>
      </c>
      <c r="L266">
        <v>0.10143081434961637</v>
      </c>
      <c r="M266">
        <v>106</v>
      </c>
      <c r="N266" t="s">
        <v>42</v>
      </c>
      <c r="O266">
        <f t="shared" si="4"/>
        <v>3424</v>
      </c>
    </row>
    <row r="267" spans="1:15">
      <c r="A267" t="s">
        <v>209</v>
      </c>
      <c r="B267" t="s">
        <v>31</v>
      </c>
      <c r="C267" s="27">
        <v>45660</v>
      </c>
      <c r="D267" t="s">
        <v>15</v>
      </c>
      <c r="E267" t="s">
        <v>26</v>
      </c>
      <c r="F267">
        <v>3782</v>
      </c>
      <c r="G267">
        <v>484</v>
      </c>
      <c r="H267">
        <v>144</v>
      </c>
      <c r="I267">
        <v>52172</v>
      </c>
      <c r="J267">
        <v>59386</v>
      </c>
      <c r="K267">
        <v>175</v>
      </c>
      <c r="L267">
        <v>8.4528099363643333E-2</v>
      </c>
      <c r="M267">
        <v>157</v>
      </c>
      <c r="N267" t="s">
        <v>21</v>
      </c>
      <c r="O267">
        <f t="shared" si="4"/>
        <v>4410</v>
      </c>
    </row>
    <row r="268" spans="1:15">
      <c r="A268" t="s">
        <v>209</v>
      </c>
      <c r="B268" t="s">
        <v>31</v>
      </c>
      <c r="C268" s="27">
        <v>45660</v>
      </c>
      <c r="D268" t="s">
        <v>15</v>
      </c>
      <c r="E268" t="s">
        <v>26</v>
      </c>
      <c r="F268">
        <v>3782</v>
      </c>
      <c r="G268">
        <v>484</v>
      </c>
      <c r="H268">
        <v>144</v>
      </c>
      <c r="I268">
        <v>52172</v>
      </c>
      <c r="J268">
        <v>59386</v>
      </c>
      <c r="K268">
        <v>175</v>
      </c>
      <c r="L268">
        <v>8.4528099363643333E-2</v>
      </c>
      <c r="M268">
        <v>157</v>
      </c>
      <c r="N268" t="s">
        <v>378</v>
      </c>
      <c r="O268">
        <f t="shared" si="4"/>
        <v>4410</v>
      </c>
    </row>
    <row r="269" spans="1:15">
      <c r="A269" t="s">
        <v>210</v>
      </c>
      <c r="B269" t="s">
        <v>24</v>
      </c>
      <c r="C269" s="27">
        <v>45619</v>
      </c>
      <c r="D269" t="s">
        <v>15</v>
      </c>
      <c r="E269" t="s">
        <v>26</v>
      </c>
      <c r="F269">
        <v>4318</v>
      </c>
      <c r="G269">
        <v>371</v>
      </c>
      <c r="H269">
        <v>329</v>
      </c>
      <c r="I269">
        <v>32347</v>
      </c>
      <c r="J269">
        <v>68956</v>
      </c>
      <c r="K269">
        <v>259</v>
      </c>
      <c r="L269">
        <v>0.15513030574705536</v>
      </c>
      <c r="M269">
        <v>33</v>
      </c>
      <c r="N269" t="s">
        <v>45</v>
      </c>
      <c r="O269">
        <f t="shared" si="4"/>
        <v>5018</v>
      </c>
    </row>
    <row r="270" spans="1:15">
      <c r="A270" t="s">
        <v>211</v>
      </c>
      <c r="B270" t="s">
        <v>14</v>
      </c>
      <c r="C270" s="27">
        <v>45536</v>
      </c>
      <c r="D270" t="s">
        <v>25</v>
      </c>
      <c r="E270" t="s">
        <v>376</v>
      </c>
      <c r="F270">
        <v>2335</v>
      </c>
      <c r="G270">
        <v>150</v>
      </c>
      <c r="H270">
        <v>75</v>
      </c>
      <c r="I270">
        <v>26114</v>
      </c>
      <c r="J270">
        <v>57549</v>
      </c>
      <c r="K270">
        <v>135</v>
      </c>
      <c r="L270">
        <v>9.8031707130274953E-2</v>
      </c>
      <c r="M270">
        <v>114</v>
      </c>
      <c r="N270" t="s">
        <v>42</v>
      </c>
      <c r="O270">
        <f t="shared" si="4"/>
        <v>2560</v>
      </c>
    </row>
    <row r="271" spans="1:15">
      <c r="A271" t="s">
        <v>212</v>
      </c>
      <c r="B271" t="s">
        <v>31</v>
      </c>
      <c r="C271" s="27">
        <v>45400</v>
      </c>
      <c r="D271" t="s">
        <v>15</v>
      </c>
      <c r="E271" t="s">
        <v>20</v>
      </c>
      <c r="F271">
        <v>4023</v>
      </c>
      <c r="G271">
        <v>293</v>
      </c>
      <c r="H271">
        <v>91</v>
      </c>
      <c r="I271">
        <v>26795</v>
      </c>
      <c r="J271">
        <v>28924</v>
      </c>
      <c r="K271">
        <v>278</v>
      </c>
      <c r="L271">
        <v>0.16447098339242397</v>
      </c>
      <c r="M271">
        <v>23</v>
      </c>
      <c r="N271" t="s">
        <v>21</v>
      </c>
      <c r="O271">
        <f t="shared" si="4"/>
        <v>4407</v>
      </c>
    </row>
    <row r="272" spans="1:15">
      <c r="A272" t="s">
        <v>212</v>
      </c>
      <c r="B272" t="s">
        <v>31</v>
      </c>
      <c r="C272" s="27">
        <v>45400</v>
      </c>
      <c r="D272" t="s">
        <v>15</v>
      </c>
      <c r="E272" t="s">
        <v>20</v>
      </c>
      <c r="F272">
        <v>4023</v>
      </c>
      <c r="G272">
        <v>293</v>
      </c>
      <c r="H272">
        <v>91</v>
      </c>
      <c r="I272">
        <v>26795</v>
      </c>
      <c r="J272">
        <v>28924</v>
      </c>
      <c r="K272">
        <v>278</v>
      </c>
      <c r="L272">
        <v>0.16447098339242397</v>
      </c>
      <c r="M272">
        <v>23</v>
      </c>
      <c r="N272" t="s">
        <v>378</v>
      </c>
      <c r="O272">
        <f t="shared" si="4"/>
        <v>4407</v>
      </c>
    </row>
    <row r="273" spans="1:15">
      <c r="A273" t="s">
        <v>213</v>
      </c>
      <c r="B273" t="s">
        <v>14</v>
      </c>
      <c r="C273" s="27">
        <v>45447</v>
      </c>
      <c r="D273" t="s">
        <v>15</v>
      </c>
      <c r="E273" t="s">
        <v>37</v>
      </c>
      <c r="F273">
        <v>3948</v>
      </c>
      <c r="G273">
        <v>151</v>
      </c>
      <c r="H273">
        <v>249</v>
      </c>
      <c r="I273">
        <v>43147</v>
      </c>
      <c r="J273">
        <v>63136</v>
      </c>
      <c r="K273">
        <v>230</v>
      </c>
      <c r="L273">
        <v>0.10077178019329269</v>
      </c>
      <c r="M273">
        <v>108</v>
      </c>
      <c r="N273" t="s">
        <v>21</v>
      </c>
      <c r="O273">
        <f t="shared" si="4"/>
        <v>4348</v>
      </c>
    </row>
    <row r="274" spans="1:15">
      <c r="A274" t="s">
        <v>214</v>
      </c>
      <c r="B274" t="s">
        <v>31</v>
      </c>
      <c r="C274" s="27">
        <v>45749</v>
      </c>
      <c r="D274" t="s">
        <v>15</v>
      </c>
      <c r="E274" t="s">
        <v>376</v>
      </c>
      <c r="F274">
        <v>4598</v>
      </c>
      <c r="G274">
        <v>455</v>
      </c>
      <c r="H274">
        <v>378</v>
      </c>
      <c r="I274">
        <v>52952</v>
      </c>
      <c r="J274">
        <v>58504</v>
      </c>
      <c r="K274">
        <v>269</v>
      </c>
      <c r="L274">
        <v>0.10256458679558846</v>
      </c>
      <c r="M274">
        <v>103</v>
      </c>
      <c r="N274" t="s">
        <v>21</v>
      </c>
      <c r="O274">
        <f t="shared" si="4"/>
        <v>5431</v>
      </c>
    </row>
    <row r="275" spans="1:15">
      <c r="A275" t="s">
        <v>214</v>
      </c>
      <c r="B275" t="s">
        <v>31</v>
      </c>
      <c r="C275" s="27">
        <v>45749</v>
      </c>
      <c r="D275" t="s">
        <v>15</v>
      </c>
      <c r="E275" t="s">
        <v>376</v>
      </c>
      <c r="F275">
        <v>4598</v>
      </c>
      <c r="G275">
        <v>455</v>
      </c>
      <c r="H275">
        <v>378</v>
      </c>
      <c r="I275">
        <v>52952</v>
      </c>
      <c r="J275">
        <v>58504</v>
      </c>
      <c r="K275">
        <v>269</v>
      </c>
      <c r="L275">
        <v>0.10256458679558846</v>
      </c>
      <c r="M275">
        <v>103</v>
      </c>
      <c r="N275" t="s">
        <v>378</v>
      </c>
      <c r="O275">
        <f t="shared" si="4"/>
        <v>5431</v>
      </c>
    </row>
    <row r="276" spans="1:15">
      <c r="A276" t="s">
        <v>215</v>
      </c>
      <c r="B276" t="s">
        <v>24</v>
      </c>
      <c r="C276" s="27">
        <v>45748</v>
      </c>
      <c r="D276" t="s">
        <v>25</v>
      </c>
      <c r="E276" t="s">
        <v>375</v>
      </c>
      <c r="F276">
        <v>2665</v>
      </c>
      <c r="G276">
        <v>143</v>
      </c>
      <c r="H276">
        <v>315</v>
      </c>
      <c r="I276">
        <v>54808</v>
      </c>
      <c r="J276">
        <v>29818</v>
      </c>
      <c r="K276">
        <v>98</v>
      </c>
      <c r="L276">
        <v>5.6980732739746021E-2</v>
      </c>
      <c r="M276">
        <v>233</v>
      </c>
      <c r="N276" t="s">
        <v>21</v>
      </c>
      <c r="O276">
        <f t="shared" si="4"/>
        <v>3123</v>
      </c>
    </row>
    <row r="277" spans="1:15">
      <c r="A277" t="s">
        <v>215</v>
      </c>
      <c r="B277" t="s">
        <v>24</v>
      </c>
      <c r="C277" s="27">
        <v>45748</v>
      </c>
      <c r="D277" t="s">
        <v>25</v>
      </c>
      <c r="E277" t="s">
        <v>375</v>
      </c>
      <c r="F277">
        <v>2665</v>
      </c>
      <c r="G277">
        <v>143</v>
      </c>
      <c r="H277">
        <v>315</v>
      </c>
      <c r="I277">
        <v>54808</v>
      </c>
      <c r="J277">
        <v>29818</v>
      </c>
      <c r="K277">
        <v>98</v>
      </c>
      <c r="L277">
        <v>5.6980732739746021E-2</v>
      </c>
      <c r="M277">
        <v>233</v>
      </c>
      <c r="N277" t="s">
        <v>377</v>
      </c>
      <c r="O277">
        <f t="shared" si="4"/>
        <v>3123</v>
      </c>
    </row>
    <row r="278" spans="1:15">
      <c r="A278" t="s">
        <v>216</v>
      </c>
      <c r="B278" t="s">
        <v>14</v>
      </c>
      <c r="C278" s="27">
        <v>45475</v>
      </c>
      <c r="D278" t="s">
        <v>15</v>
      </c>
      <c r="E278" t="s">
        <v>41</v>
      </c>
      <c r="F278">
        <v>3469</v>
      </c>
      <c r="G278">
        <v>371</v>
      </c>
      <c r="H278">
        <v>76</v>
      </c>
      <c r="I278">
        <v>46493</v>
      </c>
      <c r="J278">
        <v>26906</v>
      </c>
      <c r="K278">
        <v>150</v>
      </c>
      <c r="L278">
        <v>8.4227733207149463E-2</v>
      </c>
      <c r="M278">
        <v>159</v>
      </c>
      <c r="N278" t="s">
        <v>45</v>
      </c>
      <c r="O278">
        <f t="shared" si="4"/>
        <v>3916</v>
      </c>
    </row>
    <row r="279" spans="1:15">
      <c r="A279" t="s">
        <v>216</v>
      </c>
      <c r="B279" t="s">
        <v>14</v>
      </c>
      <c r="C279" s="27">
        <v>45475</v>
      </c>
      <c r="D279" t="s">
        <v>15</v>
      </c>
      <c r="E279" t="s">
        <v>41</v>
      </c>
      <c r="F279">
        <v>3469</v>
      </c>
      <c r="G279">
        <v>371</v>
      </c>
      <c r="H279">
        <v>76</v>
      </c>
      <c r="I279">
        <v>46493</v>
      </c>
      <c r="J279">
        <v>26906</v>
      </c>
      <c r="K279">
        <v>150</v>
      </c>
      <c r="L279">
        <v>8.4227733207149463E-2</v>
      </c>
      <c r="M279">
        <v>159</v>
      </c>
      <c r="N279" t="s">
        <v>42</v>
      </c>
      <c r="O279">
        <f t="shared" si="4"/>
        <v>3916</v>
      </c>
    </row>
    <row r="280" spans="1:15">
      <c r="A280" t="s">
        <v>217</v>
      </c>
      <c r="B280" t="s">
        <v>24</v>
      </c>
      <c r="C280" s="27">
        <v>45606</v>
      </c>
      <c r="D280" t="s">
        <v>15</v>
      </c>
      <c r="E280" t="s">
        <v>20</v>
      </c>
      <c r="F280">
        <v>4823</v>
      </c>
      <c r="G280">
        <v>489</v>
      </c>
      <c r="H280">
        <v>302</v>
      </c>
      <c r="I280">
        <v>32470</v>
      </c>
      <c r="J280">
        <v>31861</v>
      </c>
      <c r="K280">
        <v>178</v>
      </c>
      <c r="L280">
        <v>0.1728980597474592</v>
      </c>
      <c r="M280">
        <v>16</v>
      </c>
      <c r="N280" t="s">
        <v>45</v>
      </c>
      <c r="O280">
        <f t="shared" si="4"/>
        <v>5614</v>
      </c>
    </row>
    <row r="281" spans="1:15">
      <c r="A281" t="s">
        <v>218</v>
      </c>
      <c r="B281" t="s">
        <v>14</v>
      </c>
      <c r="C281" s="27">
        <v>45640</v>
      </c>
      <c r="D281" t="s">
        <v>25</v>
      </c>
      <c r="E281" t="s">
        <v>374</v>
      </c>
      <c r="F281">
        <v>3812</v>
      </c>
      <c r="G281">
        <v>321</v>
      </c>
      <c r="H281">
        <v>289</v>
      </c>
      <c r="I281">
        <v>59838</v>
      </c>
      <c r="J281">
        <v>36337</v>
      </c>
      <c r="K281">
        <v>161</v>
      </c>
      <c r="L281">
        <v>7.3899528727564417E-2</v>
      </c>
      <c r="M281">
        <v>192</v>
      </c>
      <c r="N281" t="s">
        <v>42</v>
      </c>
      <c r="O281">
        <f t="shared" si="4"/>
        <v>4422</v>
      </c>
    </row>
    <row r="282" spans="1:15">
      <c r="A282" t="s">
        <v>219</v>
      </c>
      <c r="B282" t="s">
        <v>24</v>
      </c>
      <c r="C282" s="27">
        <v>45615</v>
      </c>
      <c r="D282" t="s">
        <v>15</v>
      </c>
      <c r="E282" t="s">
        <v>20</v>
      </c>
      <c r="F282">
        <v>2387</v>
      </c>
      <c r="G282">
        <v>353</v>
      </c>
      <c r="H282">
        <v>78</v>
      </c>
      <c r="I282">
        <v>39745</v>
      </c>
      <c r="J282">
        <v>69226</v>
      </c>
      <c r="K282">
        <v>208</v>
      </c>
      <c r="L282">
        <v>7.090200025160398E-2</v>
      </c>
      <c r="M282">
        <v>199</v>
      </c>
      <c r="N282" t="s">
        <v>45</v>
      </c>
      <c r="O282">
        <f t="shared" si="4"/>
        <v>2818</v>
      </c>
    </row>
    <row r="283" spans="1:15">
      <c r="A283" t="s">
        <v>220</v>
      </c>
      <c r="B283" t="s">
        <v>24</v>
      </c>
      <c r="C283" s="27">
        <v>45777</v>
      </c>
      <c r="D283" t="s">
        <v>25</v>
      </c>
      <c r="E283" t="s">
        <v>376</v>
      </c>
      <c r="F283">
        <v>3929</v>
      </c>
      <c r="G283">
        <v>275</v>
      </c>
      <c r="H283">
        <v>330</v>
      </c>
      <c r="I283">
        <v>58329</v>
      </c>
      <c r="J283">
        <v>33196</v>
      </c>
      <c r="K283">
        <v>85</v>
      </c>
      <c r="L283">
        <v>7.7731488624869283E-2</v>
      </c>
      <c r="M283">
        <v>183</v>
      </c>
      <c r="N283" t="s">
        <v>377</v>
      </c>
      <c r="O283">
        <f t="shared" si="4"/>
        <v>4534</v>
      </c>
    </row>
    <row r="284" spans="1:15">
      <c r="A284" t="s">
        <v>220</v>
      </c>
      <c r="B284" t="s">
        <v>24</v>
      </c>
      <c r="C284" s="27">
        <v>45777</v>
      </c>
      <c r="D284" t="s">
        <v>25</v>
      </c>
      <c r="E284" t="s">
        <v>376</v>
      </c>
      <c r="F284">
        <v>3929</v>
      </c>
      <c r="G284">
        <v>275</v>
      </c>
      <c r="H284">
        <v>330</v>
      </c>
      <c r="I284">
        <v>58329</v>
      </c>
      <c r="J284">
        <v>33196</v>
      </c>
      <c r="K284">
        <v>85</v>
      </c>
      <c r="L284">
        <v>7.7731488624869283E-2</v>
      </c>
      <c r="M284">
        <v>183</v>
      </c>
      <c r="N284" t="s">
        <v>42</v>
      </c>
      <c r="O284">
        <f t="shared" si="4"/>
        <v>4534</v>
      </c>
    </row>
    <row r="285" spans="1:15">
      <c r="A285" t="s">
        <v>221</v>
      </c>
      <c r="B285" t="s">
        <v>24</v>
      </c>
      <c r="C285" s="27">
        <v>45370</v>
      </c>
      <c r="D285" t="s">
        <v>15</v>
      </c>
      <c r="E285" t="s">
        <v>374</v>
      </c>
      <c r="F285">
        <v>2191</v>
      </c>
      <c r="G285">
        <v>288</v>
      </c>
      <c r="H285">
        <v>83</v>
      </c>
      <c r="I285">
        <v>59606</v>
      </c>
      <c r="J285">
        <v>24765</v>
      </c>
      <c r="K285">
        <v>281</v>
      </c>
      <c r="L285">
        <v>4.2982250109049422E-2</v>
      </c>
      <c r="M285">
        <v>272</v>
      </c>
      <c r="N285" t="s">
        <v>45</v>
      </c>
      <c r="O285">
        <f t="shared" si="4"/>
        <v>2562</v>
      </c>
    </row>
    <row r="286" spans="1:15">
      <c r="A286" t="s">
        <v>222</v>
      </c>
      <c r="B286" t="s">
        <v>14</v>
      </c>
      <c r="C286" s="27">
        <v>45370</v>
      </c>
      <c r="D286" t="s">
        <v>15</v>
      </c>
      <c r="E286" t="s">
        <v>374</v>
      </c>
      <c r="F286">
        <v>2878</v>
      </c>
      <c r="G286">
        <v>278</v>
      </c>
      <c r="H286">
        <v>255</v>
      </c>
      <c r="I286">
        <v>47235</v>
      </c>
      <c r="J286">
        <v>57922</v>
      </c>
      <c r="K286">
        <v>112</v>
      </c>
      <c r="L286">
        <v>7.2213401079707848E-2</v>
      </c>
      <c r="M286">
        <v>195</v>
      </c>
      <c r="N286" t="s">
        <v>45</v>
      </c>
      <c r="O286">
        <f t="shared" si="4"/>
        <v>3411</v>
      </c>
    </row>
    <row r="287" spans="1:15">
      <c r="A287" t="s">
        <v>222</v>
      </c>
      <c r="B287" t="s">
        <v>14</v>
      </c>
      <c r="C287" s="27">
        <v>45370</v>
      </c>
      <c r="D287" t="s">
        <v>15</v>
      </c>
      <c r="E287" t="s">
        <v>374</v>
      </c>
      <c r="F287">
        <v>2878</v>
      </c>
      <c r="G287">
        <v>278</v>
      </c>
      <c r="H287">
        <v>255</v>
      </c>
      <c r="I287">
        <v>47235</v>
      </c>
      <c r="J287">
        <v>57922</v>
      </c>
      <c r="K287">
        <v>112</v>
      </c>
      <c r="L287">
        <v>7.2213401079707848E-2</v>
      </c>
      <c r="M287">
        <v>195</v>
      </c>
      <c r="N287" t="s">
        <v>42</v>
      </c>
      <c r="O287">
        <f t="shared" si="4"/>
        <v>3411</v>
      </c>
    </row>
    <row r="288" spans="1:15">
      <c r="A288" t="s">
        <v>223</v>
      </c>
      <c r="B288" t="s">
        <v>24</v>
      </c>
      <c r="C288" s="27">
        <v>45496</v>
      </c>
      <c r="D288" t="s">
        <v>15</v>
      </c>
      <c r="E288" t="s">
        <v>41</v>
      </c>
      <c r="F288">
        <v>3204</v>
      </c>
      <c r="G288">
        <v>398</v>
      </c>
      <c r="H288">
        <v>85</v>
      </c>
      <c r="I288">
        <v>22020</v>
      </c>
      <c r="J288">
        <v>58353</v>
      </c>
      <c r="K288">
        <v>286</v>
      </c>
      <c r="L288">
        <v>0.16743869209809265</v>
      </c>
      <c r="M288">
        <v>19</v>
      </c>
      <c r="N288" t="s">
        <v>45</v>
      </c>
      <c r="O288">
        <f t="shared" si="4"/>
        <v>3687</v>
      </c>
    </row>
    <row r="289" spans="1:15">
      <c r="A289" t="s">
        <v>224</v>
      </c>
      <c r="B289" t="s">
        <v>24</v>
      </c>
      <c r="C289" s="27">
        <v>45486</v>
      </c>
      <c r="D289" t="s">
        <v>25</v>
      </c>
      <c r="E289" t="s">
        <v>37</v>
      </c>
      <c r="F289">
        <v>2408</v>
      </c>
      <c r="G289">
        <v>323</v>
      </c>
      <c r="H289">
        <v>251</v>
      </c>
      <c r="I289">
        <v>47599</v>
      </c>
      <c r="J289">
        <v>35543</v>
      </c>
      <c r="K289">
        <v>287</v>
      </c>
      <c r="L289">
        <v>6.2648374965860634E-2</v>
      </c>
      <c r="M289">
        <v>217</v>
      </c>
      <c r="N289" t="s">
        <v>377</v>
      </c>
      <c r="O289">
        <f t="shared" si="4"/>
        <v>2982</v>
      </c>
    </row>
    <row r="290" spans="1:15">
      <c r="A290" t="s">
        <v>224</v>
      </c>
      <c r="B290" t="s">
        <v>24</v>
      </c>
      <c r="C290" s="27">
        <v>45486</v>
      </c>
      <c r="D290" t="s">
        <v>25</v>
      </c>
      <c r="E290" t="s">
        <v>37</v>
      </c>
      <c r="F290">
        <v>2408</v>
      </c>
      <c r="G290">
        <v>323</v>
      </c>
      <c r="H290">
        <v>251</v>
      </c>
      <c r="I290">
        <v>47599</v>
      </c>
      <c r="J290">
        <v>35543</v>
      </c>
      <c r="K290">
        <v>287</v>
      </c>
      <c r="L290">
        <v>6.2648374965860634E-2</v>
      </c>
      <c r="M290">
        <v>217</v>
      </c>
      <c r="N290" t="s">
        <v>42</v>
      </c>
      <c r="O290">
        <f t="shared" si="4"/>
        <v>2982</v>
      </c>
    </row>
    <row r="291" spans="1:15">
      <c r="A291" t="s">
        <v>225</v>
      </c>
      <c r="B291" t="s">
        <v>31</v>
      </c>
      <c r="C291" s="27">
        <v>45769</v>
      </c>
      <c r="D291" t="s">
        <v>57</v>
      </c>
      <c r="E291" t="s">
        <v>26</v>
      </c>
      <c r="F291">
        <v>2733</v>
      </c>
      <c r="G291">
        <v>297</v>
      </c>
      <c r="H291">
        <v>235</v>
      </c>
      <c r="I291">
        <v>37980</v>
      </c>
      <c r="J291">
        <v>33058</v>
      </c>
      <c r="K291">
        <v>219</v>
      </c>
      <c r="L291">
        <v>8.5966298051606105E-2</v>
      </c>
      <c r="M291">
        <v>152</v>
      </c>
      <c r="N291" t="s">
        <v>21</v>
      </c>
      <c r="O291">
        <f t="shared" si="4"/>
        <v>3265</v>
      </c>
    </row>
    <row r="292" spans="1:15">
      <c r="A292" t="s">
        <v>225</v>
      </c>
      <c r="B292" t="s">
        <v>31</v>
      </c>
      <c r="C292" s="27">
        <v>45769</v>
      </c>
      <c r="D292" t="s">
        <v>57</v>
      </c>
      <c r="E292" t="s">
        <v>26</v>
      </c>
      <c r="F292">
        <v>2733</v>
      </c>
      <c r="G292">
        <v>297</v>
      </c>
      <c r="H292">
        <v>235</v>
      </c>
      <c r="I292">
        <v>37980</v>
      </c>
      <c r="J292">
        <v>33058</v>
      </c>
      <c r="K292">
        <v>219</v>
      </c>
      <c r="L292">
        <v>8.5966298051606105E-2</v>
      </c>
      <c r="M292">
        <v>152</v>
      </c>
      <c r="N292" t="s">
        <v>45</v>
      </c>
      <c r="O292">
        <f t="shared" si="4"/>
        <v>3265</v>
      </c>
    </row>
    <row r="293" spans="1:15">
      <c r="A293" t="s">
        <v>226</v>
      </c>
      <c r="B293" t="s">
        <v>24</v>
      </c>
      <c r="C293" s="27">
        <v>45459</v>
      </c>
      <c r="D293" t="s">
        <v>25</v>
      </c>
      <c r="E293" t="s">
        <v>20</v>
      </c>
      <c r="F293">
        <v>4618</v>
      </c>
      <c r="G293">
        <v>312</v>
      </c>
      <c r="H293">
        <v>254</v>
      </c>
      <c r="I293">
        <v>22571</v>
      </c>
      <c r="J293">
        <v>29453</v>
      </c>
      <c r="K293">
        <v>197</v>
      </c>
      <c r="L293">
        <v>0.22967524699836073</v>
      </c>
      <c r="M293">
        <v>3</v>
      </c>
      <c r="N293" t="s">
        <v>377</v>
      </c>
      <c r="O293">
        <f t="shared" si="4"/>
        <v>5184</v>
      </c>
    </row>
    <row r="294" spans="1:15">
      <c r="A294" t="s">
        <v>226</v>
      </c>
      <c r="B294" t="s">
        <v>24</v>
      </c>
      <c r="C294" s="27">
        <v>45459</v>
      </c>
      <c r="D294" t="s">
        <v>25</v>
      </c>
      <c r="E294" t="s">
        <v>20</v>
      </c>
      <c r="F294">
        <v>4618</v>
      </c>
      <c r="G294">
        <v>312</v>
      </c>
      <c r="H294">
        <v>254</v>
      </c>
      <c r="I294">
        <v>22571</v>
      </c>
      <c r="J294">
        <v>29453</v>
      </c>
      <c r="K294">
        <v>197</v>
      </c>
      <c r="L294">
        <v>0.22967524699836073</v>
      </c>
      <c r="M294">
        <v>3</v>
      </c>
      <c r="N294" t="s">
        <v>42</v>
      </c>
      <c r="O294">
        <f t="shared" si="4"/>
        <v>5184</v>
      </c>
    </row>
    <row r="295" spans="1:15">
      <c r="A295" t="s">
        <v>227</v>
      </c>
      <c r="B295" t="s">
        <v>31</v>
      </c>
      <c r="C295" s="27">
        <v>45795</v>
      </c>
      <c r="D295" t="s">
        <v>57</v>
      </c>
      <c r="E295" t="s">
        <v>376</v>
      </c>
      <c r="F295">
        <v>4210</v>
      </c>
      <c r="G295">
        <v>319</v>
      </c>
      <c r="H295">
        <v>350</v>
      </c>
      <c r="I295">
        <v>37762</v>
      </c>
      <c r="J295">
        <v>55162</v>
      </c>
      <c r="K295">
        <v>204</v>
      </c>
      <c r="L295">
        <v>0.12920396165457337</v>
      </c>
      <c r="M295">
        <v>58</v>
      </c>
      <c r="N295" t="s">
        <v>21</v>
      </c>
      <c r="O295">
        <f t="shared" si="4"/>
        <v>4879</v>
      </c>
    </row>
    <row r="296" spans="1:15">
      <c r="A296" t="s">
        <v>227</v>
      </c>
      <c r="B296" t="s">
        <v>31</v>
      </c>
      <c r="C296" s="27">
        <v>45795</v>
      </c>
      <c r="D296" t="s">
        <v>57</v>
      </c>
      <c r="E296" t="s">
        <v>376</v>
      </c>
      <c r="F296">
        <v>4210</v>
      </c>
      <c r="G296">
        <v>319</v>
      </c>
      <c r="H296">
        <v>350</v>
      </c>
      <c r="I296">
        <v>37762</v>
      </c>
      <c r="J296">
        <v>55162</v>
      </c>
      <c r="K296">
        <v>204</v>
      </c>
      <c r="L296">
        <v>0.12920396165457337</v>
      </c>
      <c r="M296">
        <v>58</v>
      </c>
      <c r="N296" t="s">
        <v>45</v>
      </c>
      <c r="O296">
        <f t="shared" si="4"/>
        <v>4879</v>
      </c>
    </row>
    <row r="297" spans="1:15">
      <c r="A297" t="s">
        <v>228</v>
      </c>
      <c r="B297" t="s">
        <v>14</v>
      </c>
      <c r="C297" s="27">
        <v>45814</v>
      </c>
      <c r="D297" t="s">
        <v>15</v>
      </c>
      <c r="E297" t="s">
        <v>376</v>
      </c>
      <c r="F297">
        <v>3987</v>
      </c>
      <c r="G297">
        <v>171</v>
      </c>
      <c r="H297">
        <v>274</v>
      </c>
      <c r="I297">
        <v>45122</v>
      </c>
      <c r="J297">
        <v>65431</v>
      </c>
      <c r="K297">
        <v>168</v>
      </c>
      <c r="L297">
        <v>9.8222596516111871E-2</v>
      </c>
      <c r="M297">
        <v>111</v>
      </c>
      <c r="N297" t="s">
        <v>21</v>
      </c>
      <c r="O297">
        <f t="shared" si="4"/>
        <v>4432</v>
      </c>
    </row>
    <row r="298" spans="1:15">
      <c r="A298" t="s">
        <v>229</v>
      </c>
      <c r="B298" t="s">
        <v>31</v>
      </c>
      <c r="C298" s="27">
        <v>45708</v>
      </c>
      <c r="D298" t="s">
        <v>57</v>
      </c>
      <c r="E298" t="s">
        <v>37</v>
      </c>
      <c r="F298">
        <v>4957</v>
      </c>
      <c r="G298">
        <v>262</v>
      </c>
      <c r="H298">
        <v>365</v>
      </c>
      <c r="I298">
        <v>49199</v>
      </c>
      <c r="J298">
        <v>40314</v>
      </c>
      <c r="K298">
        <v>216</v>
      </c>
      <c r="L298">
        <v>0.11349824183418362</v>
      </c>
      <c r="M298">
        <v>74</v>
      </c>
      <c r="N298" t="s">
        <v>21</v>
      </c>
      <c r="O298">
        <f t="shared" si="4"/>
        <v>5584</v>
      </c>
    </row>
    <row r="299" spans="1:15">
      <c r="A299" t="s">
        <v>229</v>
      </c>
      <c r="B299" t="s">
        <v>31</v>
      </c>
      <c r="C299" s="27">
        <v>45708</v>
      </c>
      <c r="D299" t="s">
        <v>57</v>
      </c>
      <c r="E299" t="s">
        <v>37</v>
      </c>
      <c r="F299">
        <v>4957</v>
      </c>
      <c r="G299">
        <v>262</v>
      </c>
      <c r="H299">
        <v>365</v>
      </c>
      <c r="I299">
        <v>49199</v>
      </c>
      <c r="J299">
        <v>40314</v>
      </c>
      <c r="K299">
        <v>216</v>
      </c>
      <c r="L299">
        <v>0.11349824183418362</v>
      </c>
      <c r="M299">
        <v>74</v>
      </c>
      <c r="N299" t="s">
        <v>45</v>
      </c>
      <c r="O299">
        <f t="shared" si="4"/>
        <v>5584</v>
      </c>
    </row>
    <row r="300" spans="1:15">
      <c r="A300" t="s">
        <v>230</v>
      </c>
      <c r="B300" t="s">
        <v>14</v>
      </c>
      <c r="C300" s="27">
        <v>45673</v>
      </c>
      <c r="D300" t="s">
        <v>15</v>
      </c>
      <c r="E300" t="s">
        <v>375</v>
      </c>
      <c r="F300">
        <v>2605</v>
      </c>
      <c r="G300">
        <v>282</v>
      </c>
      <c r="H300">
        <v>148</v>
      </c>
      <c r="I300">
        <v>32201</v>
      </c>
      <c r="J300">
        <v>49583</v>
      </c>
      <c r="K300">
        <v>241</v>
      </c>
      <c r="L300">
        <v>9.4251731312692155E-2</v>
      </c>
      <c r="M300">
        <v>124</v>
      </c>
      <c r="N300" t="s">
        <v>45</v>
      </c>
      <c r="O300">
        <f t="shared" si="4"/>
        <v>3035</v>
      </c>
    </row>
    <row r="301" spans="1:15">
      <c r="A301" t="s">
        <v>230</v>
      </c>
      <c r="B301" t="s">
        <v>14</v>
      </c>
      <c r="C301" s="27">
        <v>45673</v>
      </c>
      <c r="D301" t="s">
        <v>15</v>
      </c>
      <c r="E301" t="s">
        <v>375</v>
      </c>
      <c r="F301">
        <v>2605</v>
      </c>
      <c r="G301">
        <v>282</v>
      </c>
      <c r="H301">
        <v>148</v>
      </c>
      <c r="I301">
        <v>32201</v>
      </c>
      <c r="J301">
        <v>49583</v>
      </c>
      <c r="K301">
        <v>241</v>
      </c>
      <c r="L301">
        <v>9.4251731312692155E-2</v>
      </c>
      <c r="M301">
        <v>124</v>
      </c>
      <c r="N301" t="s">
        <v>42</v>
      </c>
      <c r="O301">
        <f t="shared" si="4"/>
        <v>3035</v>
      </c>
    </row>
    <row r="302" spans="1:15">
      <c r="A302" t="s">
        <v>231</v>
      </c>
      <c r="B302" t="s">
        <v>31</v>
      </c>
      <c r="C302" s="27">
        <v>45346</v>
      </c>
      <c r="D302" t="s">
        <v>57</v>
      </c>
      <c r="E302" t="s">
        <v>16</v>
      </c>
      <c r="F302">
        <v>4221</v>
      </c>
      <c r="G302">
        <v>307</v>
      </c>
      <c r="H302">
        <v>58</v>
      </c>
      <c r="I302">
        <v>45080</v>
      </c>
      <c r="J302">
        <v>37214</v>
      </c>
      <c r="K302">
        <v>240</v>
      </c>
      <c r="L302">
        <v>0.10173025732031943</v>
      </c>
      <c r="M302">
        <v>105</v>
      </c>
      <c r="N302" t="s">
        <v>21</v>
      </c>
      <c r="O302">
        <f t="shared" si="4"/>
        <v>4586</v>
      </c>
    </row>
    <row r="303" spans="1:15">
      <c r="A303" t="s">
        <v>231</v>
      </c>
      <c r="B303" t="s">
        <v>31</v>
      </c>
      <c r="C303" s="27">
        <v>45346</v>
      </c>
      <c r="D303" t="s">
        <v>57</v>
      </c>
      <c r="E303" t="s">
        <v>16</v>
      </c>
      <c r="F303">
        <v>4221</v>
      </c>
      <c r="G303">
        <v>307</v>
      </c>
      <c r="H303">
        <v>58</v>
      </c>
      <c r="I303">
        <v>45080</v>
      </c>
      <c r="J303">
        <v>37214</v>
      </c>
      <c r="K303">
        <v>240</v>
      </c>
      <c r="L303">
        <v>0.10173025732031943</v>
      </c>
      <c r="M303">
        <v>105</v>
      </c>
      <c r="N303" t="s">
        <v>45</v>
      </c>
      <c r="O303">
        <f t="shared" si="4"/>
        <v>4586</v>
      </c>
    </row>
    <row r="304" spans="1:15">
      <c r="A304" t="s">
        <v>232</v>
      </c>
      <c r="B304" t="s">
        <v>24</v>
      </c>
      <c r="C304" s="27">
        <v>45551</v>
      </c>
      <c r="D304" t="s">
        <v>25</v>
      </c>
      <c r="E304" t="s">
        <v>373</v>
      </c>
      <c r="F304">
        <v>4422</v>
      </c>
      <c r="G304">
        <v>434</v>
      </c>
      <c r="H304">
        <v>156</v>
      </c>
      <c r="I304">
        <v>56165</v>
      </c>
      <c r="J304">
        <v>52431</v>
      </c>
      <c r="K304">
        <v>173</v>
      </c>
      <c r="L304">
        <v>8.9237069349238848E-2</v>
      </c>
      <c r="M304">
        <v>139</v>
      </c>
      <c r="N304" t="s">
        <v>21</v>
      </c>
      <c r="O304">
        <f t="shared" si="4"/>
        <v>5012</v>
      </c>
    </row>
    <row r="305" spans="1:15">
      <c r="A305" t="s">
        <v>232</v>
      </c>
      <c r="B305" t="s">
        <v>24</v>
      </c>
      <c r="C305" s="27">
        <v>45551</v>
      </c>
      <c r="D305" t="s">
        <v>25</v>
      </c>
      <c r="E305" t="s">
        <v>373</v>
      </c>
      <c r="F305">
        <v>4422</v>
      </c>
      <c r="G305">
        <v>434</v>
      </c>
      <c r="H305">
        <v>156</v>
      </c>
      <c r="I305">
        <v>56165</v>
      </c>
      <c r="J305">
        <v>52431</v>
      </c>
      <c r="K305">
        <v>173</v>
      </c>
      <c r="L305">
        <v>8.9237069349238848E-2</v>
      </c>
      <c r="M305">
        <v>139</v>
      </c>
      <c r="N305" t="s">
        <v>377</v>
      </c>
      <c r="O305">
        <f t="shared" si="4"/>
        <v>5012</v>
      </c>
    </row>
    <row r="306" spans="1:15">
      <c r="A306" t="s">
        <v>233</v>
      </c>
      <c r="B306" t="s">
        <v>31</v>
      </c>
      <c r="C306" s="27">
        <v>45447</v>
      </c>
      <c r="D306" t="s">
        <v>57</v>
      </c>
      <c r="E306" t="s">
        <v>376</v>
      </c>
      <c r="F306">
        <v>1211</v>
      </c>
      <c r="G306">
        <v>431</v>
      </c>
      <c r="H306">
        <v>83</v>
      </c>
      <c r="I306">
        <v>26532</v>
      </c>
      <c r="J306">
        <v>47305</v>
      </c>
      <c r="K306">
        <v>232</v>
      </c>
      <c r="L306">
        <v>6.5015829941203071E-2</v>
      </c>
      <c r="M306">
        <v>211</v>
      </c>
      <c r="N306" t="s">
        <v>21</v>
      </c>
      <c r="O306">
        <f t="shared" si="4"/>
        <v>1725</v>
      </c>
    </row>
    <row r="307" spans="1:15">
      <c r="A307" t="s">
        <v>233</v>
      </c>
      <c r="B307" t="s">
        <v>31</v>
      </c>
      <c r="C307" s="27">
        <v>45447</v>
      </c>
      <c r="D307" t="s">
        <v>57</v>
      </c>
      <c r="E307" t="s">
        <v>376</v>
      </c>
      <c r="F307">
        <v>1211</v>
      </c>
      <c r="G307">
        <v>431</v>
      </c>
      <c r="H307">
        <v>83</v>
      </c>
      <c r="I307">
        <v>26532</v>
      </c>
      <c r="J307">
        <v>47305</v>
      </c>
      <c r="K307">
        <v>232</v>
      </c>
      <c r="L307">
        <v>6.5015829941203071E-2</v>
      </c>
      <c r="M307">
        <v>211</v>
      </c>
      <c r="N307" t="s">
        <v>45</v>
      </c>
      <c r="O307">
        <f t="shared" si="4"/>
        <v>1725</v>
      </c>
    </row>
    <row r="308" spans="1:15">
      <c r="A308" t="s">
        <v>234</v>
      </c>
      <c r="B308" t="s">
        <v>24</v>
      </c>
      <c r="C308" s="27">
        <v>45422</v>
      </c>
      <c r="D308" t="s">
        <v>25</v>
      </c>
      <c r="E308" t="s">
        <v>20</v>
      </c>
      <c r="F308">
        <v>2784</v>
      </c>
      <c r="G308">
        <v>111</v>
      </c>
      <c r="H308">
        <v>399</v>
      </c>
      <c r="I308">
        <v>58366</v>
      </c>
      <c r="J308">
        <v>69512</v>
      </c>
      <c r="K308">
        <v>269</v>
      </c>
      <c r="L308">
        <v>5.6436966727204191E-2</v>
      </c>
      <c r="M308">
        <v>234</v>
      </c>
      <c r="N308" t="s">
        <v>377</v>
      </c>
      <c r="O308">
        <f t="shared" si="4"/>
        <v>3294</v>
      </c>
    </row>
    <row r="309" spans="1:15">
      <c r="A309" t="s">
        <v>234</v>
      </c>
      <c r="B309" t="s">
        <v>24</v>
      </c>
      <c r="C309" s="27">
        <v>45422</v>
      </c>
      <c r="D309" t="s">
        <v>25</v>
      </c>
      <c r="E309" t="s">
        <v>20</v>
      </c>
      <c r="F309">
        <v>2784</v>
      </c>
      <c r="G309">
        <v>111</v>
      </c>
      <c r="H309">
        <v>399</v>
      </c>
      <c r="I309">
        <v>58366</v>
      </c>
      <c r="J309">
        <v>69512</v>
      </c>
      <c r="K309">
        <v>269</v>
      </c>
      <c r="L309">
        <v>5.6436966727204191E-2</v>
      </c>
      <c r="M309">
        <v>234</v>
      </c>
      <c r="N309" t="s">
        <v>42</v>
      </c>
      <c r="O309">
        <f t="shared" si="4"/>
        <v>3294</v>
      </c>
    </row>
    <row r="310" spans="1:15">
      <c r="A310" t="s">
        <v>235</v>
      </c>
      <c r="B310" t="s">
        <v>31</v>
      </c>
      <c r="C310" s="27">
        <v>45305</v>
      </c>
      <c r="D310" t="s">
        <v>15</v>
      </c>
      <c r="E310" t="s">
        <v>26</v>
      </c>
      <c r="F310">
        <v>3634</v>
      </c>
      <c r="G310">
        <v>280</v>
      </c>
      <c r="H310">
        <v>399</v>
      </c>
      <c r="I310">
        <v>40256</v>
      </c>
      <c r="J310">
        <v>52605</v>
      </c>
      <c r="K310">
        <v>213</v>
      </c>
      <c r="L310">
        <v>0.10713930842607314</v>
      </c>
      <c r="M310">
        <v>91</v>
      </c>
      <c r="N310" t="s">
        <v>21</v>
      </c>
      <c r="O310">
        <f t="shared" si="4"/>
        <v>4313</v>
      </c>
    </row>
    <row r="311" spans="1:15">
      <c r="A311" t="s">
        <v>235</v>
      </c>
      <c r="B311" t="s">
        <v>31</v>
      </c>
      <c r="C311" s="27">
        <v>45305</v>
      </c>
      <c r="D311" t="s">
        <v>15</v>
      </c>
      <c r="E311" t="s">
        <v>26</v>
      </c>
      <c r="F311">
        <v>3634</v>
      </c>
      <c r="G311">
        <v>280</v>
      </c>
      <c r="H311">
        <v>399</v>
      </c>
      <c r="I311">
        <v>40256</v>
      </c>
      <c r="J311">
        <v>52605</v>
      </c>
      <c r="K311">
        <v>213</v>
      </c>
      <c r="L311">
        <v>0.10713930842607314</v>
      </c>
      <c r="M311">
        <v>91</v>
      </c>
      <c r="N311" t="s">
        <v>378</v>
      </c>
      <c r="O311">
        <f t="shared" si="4"/>
        <v>4313</v>
      </c>
    </row>
    <row r="312" spans="1:15">
      <c r="A312" t="s">
        <v>236</v>
      </c>
      <c r="B312" t="s">
        <v>14</v>
      </c>
      <c r="C312" s="27">
        <v>45669</v>
      </c>
      <c r="D312" t="s">
        <v>15</v>
      </c>
      <c r="E312" t="s">
        <v>374</v>
      </c>
      <c r="F312">
        <v>1771</v>
      </c>
      <c r="G312">
        <v>487</v>
      </c>
      <c r="H312">
        <v>272</v>
      </c>
      <c r="I312">
        <v>48810</v>
      </c>
      <c r="J312">
        <v>48084</v>
      </c>
      <c r="K312">
        <v>272</v>
      </c>
      <c r="L312">
        <v>5.1833640647408315E-2</v>
      </c>
      <c r="M312">
        <v>250</v>
      </c>
      <c r="N312" t="s">
        <v>45</v>
      </c>
      <c r="O312">
        <f t="shared" si="4"/>
        <v>2530</v>
      </c>
    </row>
    <row r="313" spans="1:15">
      <c r="A313" t="s">
        <v>236</v>
      </c>
      <c r="B313" t="s">
        <v>14</v>
      </c>
      <c r="C313" s="27">
        <v>45669</v>
      </c>
      <c r="D313" t="s">
        <v>15</v>
      </c>
      <c r="E313" t="s">
        <v>374</v>
      </c>
      <c r="F313">
        <v>1771</v>
      </c>
      <c r="G313">
        <v>487</v>
      </c>
      <c r="H313">
        <v>272</v>
      </c>
      <c r="I313">
        <v>48810</v>
      </c>
      <c r="J313">
        <v>48084</v>
      </c>
      <c r="K313">
        <v>272</v>
      </c>
      <c r="L313">
        <v>5.1833640647408315E-2</v>
      </c>
      <c r="M313">
        <v>250</v>
      </c>
      <c r="N313" t="s">
        <v>42</v>
      </c>
      <c r="O313">
        <f t="shared" si="4"/>
        <v>2530</v>
      </c>
    </row>
    <row r="314" spans="1:15">
      <c r="A314" t="s">
        <v>237</v>
      </c>
      <c r="B314" t="s">
        <v>31</v>
      </c>
      <c r="C314" s="27">
        <v>45634</v>
      </c>
      <c r="D314" t="s">
        <v>15</v>
      </c>
      <c r="E314" t="s">
        <v>41</v>
      </c>
      <c r="F314">
        <v>1424</v>
      </c>
      <c r="G314">
        <v>396</v>
      </c>
      <c r="H314">
        <v>312</v>
      </c>
      <c r="I314">
        <v>59517</v>
      </c>
      <c r="J314">
        <v>46102</v>
      </c>
      <c r="K314">
        <v>239</v>
      </c>
      <c r="L314">
        <v>3.5821698002251455E-2</v>
      </c>
      <c r="M314">
        <v>284</v>
      </c>
      <c r="N314" t="s">
        <v>21</v>
      </c>
      <c r="O314">
        <f t="shared" si="4"/>
        <v>2132</v>
      </c>
    </row>
    <row r="315" spans="1:15">
      <c r="A315" t="s">
        <v>237</v>
      </c>
      <c r="B315" t="s">
        <v>31</v>
      </c>
      <c r="C315" s="27">
        <v>45634</v>
      </c>
      <c r="D315" t="s">
        <v>15</v>
      </c>
      <c r="E315" t="s">
        <v>41</v>
      </c>
      <c r="F315">
        <v>1424</v>
      </c>
      <c r="G315">
        <v>396</v>
      </c>
      <c r="H315">
        <v>312</v>
      </c>
      <c r="I315">
        <v>59517</v>
      </c>
      <c r="J315">
        <v>46102</v>
      </c>
      <c r="K315">
        <v>239</v>
      </c>
      <c r="L315">
        <v>3.5821698002251455E-2</v>
      </c>
      <c r="M315">
        <v>284</v>
      </c>
      <c r="N315" t="s">
        <v>378</v>
      </c>
      <c r="O315">
        <f t="shared" si="4"/>
        <v>2132</v>
      </c>
    </row>
    <row r="316" spans="1:15">
      <c r="A316" t="s">
        <v>238</v>
      </c>
      <c r="B316" t="s">
        <v>24</v>
      </c>
      <c r="C316" s="27">
        <v>45689</v>
      </c>
      <c r="D316" t="s">
        <v>25</v>
      </c>
      <c r="E316" t="s">
        <v>41</v>
      </c>
      <c r="F316">
        <v>1079</v>
      </c>
      <c r="G316">
        <v>265</v>
      </c>
      <c r="H316">
        <v>190</v>
      </c>
      <c r="I316">
        <v>43786</v>
      </c>
      <c r="J316">
        <v>72428</v>
      </c>
      <c r="K316">
        <v>222</v>
      </c>
      <c r="L316">
        <v>3.5034029141734799E-2</v>
      </c>
      <c r="M316">
        <v>287</v>
      </c>
      <c r="N316" t="s">
        <v>45</v>
      </c>
      <c r="O316">
        <f t="shared" si="4"/>
        <v>1534</v>
      </c>
    </row>
    <row r="317" spans="1:15">
      <c r="A317" t="s">
        <v>238</v>
      </c>
      <c r="B317" t="s">
        <v>24</v>
      </c>
      <c r="C317" s="27">
        <v>45689</v>
      </c>
      <c r="D317" t="s">
        <v>25</v>
      </c>
      <c r="E317" t="s">
        <v>41</v>
      </c>
      <c r="F317">
        <v>1079</v>
      </c>
      <c r="G317">
        <v>265</v>
      </c>
      <c r="H317">
        <v>190</v>
      </c>
      <c r="I317">
        <v>43786</v>
      </c>
      <c r="J317">
        <v>72428</v>
      </c>
      <c r="K317">
        <v>222</v>
      </c>
      <c r="L317">
        <v>3.5034029141734799E-2</v>
      </c>
      <c r="M317">
        <v>287</v>
      </c>
      <c r="N317" t="s">
        <v>42</v>
      </c>
      <c r="O317">
        <f t="shared" si="4"/>
        <v>1534</v>
      </c>
    </row>
    <row r="318" spans="1:15">
      <c r="A318" t="s">
        <v>239</v>
      </c>
      <c r="B318" t="s">
        <v>24</v>
      </c>
      <c r="C318" s="27">
        <v>45484</v>
      </c>
      <c r="D318" t="s">
        <v>25</v>
      </c>
      <c r="E318" t="s">
        <v>37</v>
      </c>
      <c r="F318">
        <v>4247</v>
      </c>
      <c r="G318">
        <v>179</v>
      </c>
      <c r="H318">
        <v>175</v>
      </c>
      <c r="I318">
        <v>32991</v>
      </c>
      <c r="J318">
        <v>70120</v>
      </c>
      <c r="K318">
        <v>276</v>
      </c>
      <c r="L318">
        <v>0.13946227759085811</v>
      </c>
      <c r="M318">
        <v>47</v>
      </c>
      <c r="N318" t="s">
        <v>45</v>
      </c>
      <c r="O318">
        <f t="shared" si="4"/>
        <v>4601</v>
      </c>
    </row>
    <row r="319" spans="1:15">
      <c r="A319" t="s">
        <v>239</v>
      </c>
      <c r="B319" t="s">
        <v>24</v>
      </c>
      <c r="C319" s="27">
        <v>45484</v>
      </c>
      <c r="D319" t="s">
        <v>25</v>
      </c>
      <c r="E319" t="s">
        <v>37</v>
      </c>
      <c r="F319">
        <v>4247</v>
      </c>
      <c r="G319">
        <v>179</v>
      </c>
      <c r="H319">
        <v>175</v>
      </c>
      <c r="I319">
        <v>32991</v>
      </c>
      <c r="J319">
        <v>70120</v>
      </c>
      <c r="K319">
        <v>276</v>
      </c>
      <c r="L319">
        <v>0.13946227759085811</v>
      </c>
      <c r="M319">
        <v>47</v>
      </c>
      <c r="N319" t="s">
        <v>42</v>
      </c>
      <c r="O319">
        <f t="shared" si="4"/>
        <v>4601</v>
      </c>
    </row>
    <row r="320" spans="1:15">
      <c r="A320" t="s">
        <v>240</v>
      </c>
      <c r="B320" t="s">
        <v>24</v>
      </c>
      <c r="C320" s="27">
        <v>45369</v>
      </c>
      <c r="D320" t="s">
        <v>15</v>
      </c>
      <c r="E320" t="s">
        <v>26</v>
      </c>
      <c r="F320">
        <v>2033</v>
      </c>
      <c r="G320">
        <v>420</v>
      </c>
      <c r="H320">
        <v>94</v>
      </c>
      <c r="I320">
        <v>56290</v>
      </c>
      <c r="J320">
        <v>57391</v>
      </c>
      <c r="K320">
        <v>196</v>
      </c>
      <c r="L320">
        <v>4.5247823769763724E-2</v>
      </c>
      <c r="M320">
        <v>265</v>
      </c>
      <c r="N320" t="s">
        <v>42</v>
      </c>
      <c r="O320">
        <f t="shared" si="4"/>
        <v>2547</v>
      </c>
    </row>
    <row r="321" spans="1:15">
      <c r="A321" t="s">
        <v>241</v>
      </c>
      <c r="B321" t="s">
        <v>24</v>
      </c>
      <c r="C321" s="27">
        <v>45547</v>
      </c>
      <c r="D321" t="s">
        <v>25</v>
      </c>
      <c r="E321" t="s">
        <v>376</v>
      </c>
      <c r="F321">
        <v>1839</v>
      </c>
      <c r="G321">
        <v>223</v>
      </c>
      <c r="H321">
        <v>171</v>
      </c>
      <c r="I321">
        <v>35459</v>
      </c>
      <c r="J321">
        <v>69988</v>
      </c>
      <c r="K321">
        <v>114</v>
      </c>
      <c r="L321">
        <v>6.2974139146620034E-2</v>
      </c>
      <c r="M321">
        <v>216</v>
      </c>
      <c r="N321" t="s">
        <v>377</v>
      </c>
      <c r="O321">
        <f t="shared" si="4"/>
        <v>2233</v>
      </c>
    </row>
    <row r="322" spans="1:15">
      <c r="A322" t="s">
        <v>241</v>
      </c>
      <c r="B322" t="s">
        <v>24</v>
      </c>
      <c r="C322" s="27">
        <v>45547</v>
      </c>
      <c r="D322" t="s">
        <v>25</v>
      </c>
      <c r="E322" t="s">
        <v>376</v>
      </c>
      <c r="F322">
        <v>1839</v>
      </c>
      <c r="G322">
        <v>223</v>
      </c>
      <c r="H322">
        <v>171</v>
      </c>
      <c r="I322">
        <v>35459</v>
      </c>
      <c r="J322">
        <v>69988</v>
      </c>
      <c r="K322">
        <v>114</v>
      </c>
      <c r="L322">
        <v>6.2974139146620034E-2</v>
      </c>
      <c r="M322">
        <v>216</v>
      </c>
      <c r="N322" t="s">
        <v>42</v>
      </c>
      <c r="O322">
        <f t="shared" ref="O322:O385" si="5" xml:space="preserve"> F322 + G322+H322</f>
        <v>2233</v>
      </c>
    </row>
    <row r="323" spans="1:15">
      <c r="A323" t="s">
        <v>242</v>
      </c>
      <c r="B323" t="s">
        <v>24</v>
      </c>
      <c r="C323" s="27">
        <v>45302</v>
      </c>
      <c r="D323" t="s">
        <v>25</v>
      </c>
      <c r="E323" t="s">
        <v>376</v>
      </c>
      <c r="F323">
        <v>2340</v>
      </c>
      <c r="G323">
        <v>141</v>
      </c>
      <c r="H323">
        <v>206</v>
      </c>
      <c r="I323">
        <v>24916</v>
      </c>
      <c r="J323">
        <v>30582</v>
      </c>
      <c r="K323">
        <v>157</v>
      </c>
      <c r="L323">
        <v>0.10784235029699792</v>
      </c>
      <c r="M323">
        <v>88</v>
      </c>
      <c r="N323" t="s">
        <v>45</v>
      </c>
      <c r="O323">
        <f t="shared" si="5"/>
        <v>2687</v>
      </c>
    </row>
    <row r="324" spans="1:15">
      <c r="A324" t="s">
        <v>242</v>
      </c>
      <c r="B324" t="s">
        <v>24</v>
      </c>
      <c r="C324" s="27">
        <v>45302</v>
      </c>
      <c r="D324" t="s">
        <v>25</v>
      </c>
      <c r="E324" t="s">
        <v>376</v>
      </c>
      <c r="F324">
        <v>2340</v>
      </c>
      <c r="G324">
        <v>141</v>
      </c>
      <c r="H324">
        <v>206</v>
      </c>
      <c r="I324">
        <v>24916</v>
      </c>
      <c r="J324">
        <v>30582</v>
      </c>
      <c r="K324">
        <v>157</v>
      </c>
      <c r="L324">
        <v>0.10784235029699792</v>
      </c>
      <c r="M324">
        <v>88</v>
      </c>
      <c r="N324" t="s">
        <v>42</v>
      </c>
      <c r="O324">
        <f t="shared" si="5"/>
        <v>2687</v>
      </c>
    </row>
    <row r="325" spans="1:15">
      <c r="A325" t="s">
        <v>243</v>
      </c>
      <c r="B325" t="s">
        <v>14</v>
      </c>
      <c r="C325" s="27">
        <v>45571</v>
      </c>
      <c r="D325" t="s">
        <v>15</v>
      </c>
      <c r="E325" t="s">
        <v>41</v>
      </c>
      <c r="F325">
        <v>2080</v>
      </c>
      <c r="G325">
        <v>389</v>
      </c>
      <c r="H325">
        <v>92</v>
      </c>
      <c r="I325">
        <v>30971</v>
      </c>
      <c r="J325">
        <v>25347</v>
      </c>
      <c r="K325">
        <v>111</v>
      </c>
      <c r="L325">
        <v>8.2690258629040073E-2</v>
      </c>
      <c r="M325">
        <v>167</v>
      </c>
      <c r="N325" t="s">
        <v>21</v>
      </c>
      <c r="O325">
        <f t="shared" si="5"/>
        <v>2561</v>
      </c>
    </row>
    <row r="326" spans="1:15">
      <c r="A326" t="s">
        <v>244</v>
      </c>
      <c r="B326" t="s">
        <v>24</v>
      </c>
      <c r="C326" s="27">
        <v>45656</v>
      </c>
      <c r="D326" t="s">
        <v>15</v>
      </c>
      <c r="E326" t="s">
        <v>37</v>
      </c>
      <c r="F326">
        <v>4214</v>
      </c>
      <c r="G326">
        <v>286</v>
      </c>
      <c r="H326">
        <v>127</v>
      </c>
      <c r="I326">
        <v>47293</v>
      </c>
      <c r="J326">
        <v>27184</v>
      </c>
      <c r="K326">
        <v>232</v>
      </c>
      <c r="L326">
        <v>9.7836889180216949E-2</v>
      </c>
      <c r="M326">
        <v>115</v>
      </c>
      <c r="N326" t="s">
        <v>42</v>
      </c>
      <c r="O326">
        <f t="shared" si="5"/>
        <v>4627</v>
      </c>
    </row>
    <row r="327" spans="1:15">
      <c r="A327" t="s">
        <v>245</v>
      </c>
      <c r="B327" t="s">
        <v>24</v>
      </c>
      <c r="C327" s="27">
        <v>45763</v>
      </c>
      <c r="D327" t="s">
        <v>15</v>
      </c>
      <c r="E327" t="s">
        <v>376</v>
      </c>
      <c r="F327">
        <v>3792</v>
      </c>
      <c r="G327">
        <v>315</v>
      </c>
      <c r="H327">
        <v>120</v>
      </c>
      <c r="I327">
        <v>54592</v>
      </c>
      <c r="J327">
        <v>67886</v>
      </c>
      <c r="K327">
        <v>117</v>
      </c>
      <c r="L327">
        <v>7.7428927315357568E-2</v>
      </c>
      <c r="M327">
        <v>184</v>
      </c>
      <c r="N327" t="s">
        <v>45</v>
      </c>
      <c r="O327">
        <f t="shared" si="5"/>
        <v>4227</v>
      </c>
    </row>
    <row r="328" spans="1:15">
      <c r="A328" t="s">
        <v>246</v>
      </c>
      <c r="B328" t="s">
        <v>24</v>
      </c>
      <c r="C328" s="27">
        <v>45525</v>
      </c>
      <c r="D328" t="s">
        <v>25</v>
      </c>
      <c r="E328" t="s">
        <v>20</v>
      </c>
      <c r="F328">
        <v>3989</v>
      </c>
      <c r="G328">
        <v>476</v>
      </c>
      <c r="H328">
        <v>128</v>
      </c>
      <c r="I328">
        <v>57569</v>
      </c>
      <c r="J328">
        <v>40193</v>
      </c>
      <c r="K328">
        <v>222</v>
      </c>
      <c r="L328">
        <v>7.9782521843353188E-2</v>
      </c>
      <c r="M328">
        <v>180</v>
      </c>
      <c r="N328" t="s">
        <v>21</v>
      </c>
      <c r="O328">
        <f t="shared" si="5"/>
        <v>4593</v>
      </c>
    </row>
    <row r="329" spans="1:15">
      <c r="A329" t="s">
        <v>246</v>
      </c>
      <c r="B329" t="s">
        <v>24</v>
      </c>
      <c r="C329" s="27">
        <v>45525</v>
      </c>
      <c r="D329" t="s">
        <v>25</v>
      </c>
      <c r="E329" t="s">
        <v>20</v>
      </c>
      <c r="F329">
        <v>3989</v>
      </c>
      <c r="G329">
        <v>476</v>
      </c>
      <c r="H329">
        <v>128</v>
      </c>
      <c r="I329">
        <v>57569</v>
      </c>
      <c r="J329">
        <v>40193</v>
      </c>
      <c r="K329">
        <v>222</v>
      </c>
      <c r="L329">
        <v>7.9782521843353188E-2</v>
      </c>
      <c r="M329">
        <v>180</v>
      </c>
      <c r="N329" t="s">
        <v>377</v>
      </c>
      <c r="O329">
        <f t="shared" si="5"/>
        <v>4593</v>
      </c>
    </row>
    <row r="330" spans="1:15">
      <c r="A330" t="s">
        <v>247</v>
      </c>
      <c r="B330" t="s">
        <v>24</v>
      </c>
      <c r="C330" s="27">
        <v>45387</v>
      </c>
      <c r="D330" t="s">
        <v>25</v>
      </c>
      <c r="E330" t="s">
        <v>376</v>
      </c>
      <c r="F330">
        <v>2857</v>
      </c>
      <c r="G330">
        <v>443</v>
      </c>
      <c r="H330">
        <v>359</v>
      </c>
      <c r="I330">
        <v>51519</v>
      </c>
      <c r="J330">
        <v>28256</v>
      </c>
      <c r="K330">
        <v>155</v>
      </c>
      <c r="L330">
        <v>7.1022341272152026E-2</v>
      </c>
      <c r="M330">
        <v>198</v>
      </c>
      <c r="N330" t="s">
        <v>45</v>
      </c>
      <c r="O330">
        <f t="shared" si="5"/>
        <v>3659</v>
      </c>
    </row>
    <row r="331" spans="1:15">
      <c r="A331" t="s">
        <v>247</v>
      </c>
      <c r="B331" t="s">
        <v>24</v>
      </c>
      <c r="C331" s="27">
        <v>45387</v>
      </c>
      <c r="D331" t="s">
        <v>25</v>
      </c>
      <c r="E331" t="s">
        <v>376</v>
      </c>
      <c r="F331">
        <v>2857</v>
      </c>
      <c r="G331">
        <v>443</v>
      </c>
      <c r="H331">
        <v>359</v>
      </c>
      <c r="I331">
        <v>51519</v>
      </c>
      <c r="J331">
        <v>28256</v>
      </c>
      <c r="K331">
        <v>155</v>
      </c>
      <c r="L331">
        <v>7.1022341272152026E-2</v>
      </c>
      <c r="M331">
        <v>198</v>
      </c>
      <c r="N331" t="s">
        <v>42</v>
      </c>
      <c r="O331">
        <f t="shared" si="5"/>
        <v>3659</v>
      </c>
    </row>
    <row r="332" spans="1:15">
      <c r="A332" t="s">
        <v>248</v>
      </c>
      <c r="B332" t="s">
        <v>24</v>
      </c>
      <c r="C332" s="27">
        <v>45754</v>
      </c>
      <c r="D332" t="s">
        <v>15</v>
      </c>
      <c r="E332" t="s">
        <v>374</v>
      </c>
      <c r="F332">
        <v>1403</v>
      </c>
      <c r="G332">
        <v>385</v>
      </c>
      <c r="H332">
        <v>344</v>
      </c>
      <c r="I332">
        <v>54223</v>
      </c>
      <c r="J332">
        <v>72595</v>
      </c>
      <c r="K332">
        <v>239</v>
      </c>
      <c r="L332">
        <v>3.9319108127547353E-2</v>
      </c>
      <c r="M332">
        <v>279</v>
      </c>
      <c r="N332" t="s">
        <v>45</v>
      </c>
      <c r="O332">
        <f t="shared" si="5"/>
        <v>2132</v>
      </c>
    </row>
    <row r="333" spans="1:15">
      <c r="A333" t="s">
        <v>249</v>
      </c>
      <c r="B333" t="s">
        <v>24</v>
      </c>
      <c r="C333" s="27">
        <v>45492</v>
      </c>
      <c r="D333" t="s">
        <v>25</v>
      </c>
      <c r="E333" t="s">
        <v>373</v>
      </c>
      <c r="F333">
        <v>3071</v>
      </c>
      <c r="G333">
        <v>126</v>
      </c>
      <c r="H333">
        <v>200</v>
      </c>
      <c r="I333">
        <v>44013</v>
      </c>
      <c r="J333">
        <v>44679</v>
      </c>
      <c r="K333">
        <v>118</v>
      </c>
      <c r="L333">
        <v>7.7181741758116915E-2</v>
      </c>
      <c r="M333">
        <v>185</v>
      </c>
      <c r="N333" t="s">
        <v>21</v>
      </c>
      <c r="O333">
        <f t="shared" si="5"/>
        <v>3397</v>
      </c>
    </row>
    <row r="334" spans="1:15">
      <c r="A334" t="s">
        <v>249</v>
      </c>
      <c r="B334" t="s">
        <v>24</v>
      </c>
      <c r="C334" s="27">
        <v>45492</v>
      </c>
      <c r="D334" t="s">
        <v>25</v>
      </c>
      <c r="E334" t="s">
        <v>373</v>
      </c>
      <c r="F334">
        <v>3071</v>
      </c>
      <c r="G334">
        <v>126</v>
      </c>
      <c r="H334">
        <v>200</v>
      </c>
      <c r="I334">
        <v>44013</v>
      </c>
      <c r="J334">
        <v>44679</v>
      </c>
      <c r="K334">
        <v>118</v>
      </c>
      <c r="L334">
        <v>7.7181741758116915E-2</v>
      </c>
      <c r="M334">
        <v>185</v>
      </c>
      <c r="N334" t="s">
        <v>377</v>
      </c>
      <c r="O334">
        <f t="shared" si="5"/>
        <v>3397</v>
      </c>
    </row>
    <row r="335" spans="1:15">
      <c r="A335" t="s">
        <v>250</v>
      </c>
      <c r="B335" t="s">
        <v>24</v>
      </c>
      <c r="C335" s="27">
        <v>45780</v>
      </c>
      <c r="D335" t="s">
        <v>25</v>
      </c>
      <c r="E335" t="s">
        <v>41</v>
      </c>
      <c r="F335">
        <v>1010</v>
      </c>
      <c r="G335">
        <v>361</v>
      </c>
      <c r="H335">
        <v>240</v>
      </c>
      <c r="I335">
        <v>47229</v>
      </c>
      <c r="J335">
        <v>72573</v>
      </c>
      <c r="K335">
        <v>275</v>
      </c>
      <c r="L335">
        <v>3.4110398272247981E-2</v>
      </c>
      <c r="M335">
        <v>291</v>
      </c>
      <c r="N335" t="s">
        <v>45</v>
      </c>
      <c r="O335">
        <f t="shared" si="5"/>
        <v>1611</v>
      </c>
    </row>
    <row r="336" spans="1:15">
      <c r="A336" t="s">
        <v>250</v>
      </c>
      <c r="B336" t="s">
        <v>24</v>
      </c>
      <c r="C336" s="27">
        <v>45780</v>
      </c>
      <c r="D336" t="s">
        <v>25</v>
      </c>
      <c r="E336" t="s">
        <v>41</v>
      </c>
      <c r="F336">
        <v>1010</v>
      </c>
      <c r="G336">
        <v>361</v>
      </c>
      <c r="H336">
        <v>240</v>
      </c>
      <c r="I336">
        <v>47229</v>
      </c>
      <c r="J336">
        <v>72573</v>
      </c>
      <c r="K336">
        <v>275</v>
      </c>
      <c r="L336">
        <v>3.4110398272247981E-2</v>
      </c>
      <c r="M336">
        <v>291</v>
      </c>
      <c r="N336" t="s">
        <v>42</v>
      </c>
      <c r="O336">
        <f t="shared" si="5"/>
        <v>1611</v>
      </c>
    </row>
    <row r="337" spans="1:15">
      <c r="A337" t="s">
        <v>251</v>
      </c>
      <c r="B337" t="s">
        <v>24</v>
      </c>
      <c r="C337" s="27">
        <v>45396</v>
      </c>
      <c r="D337" t="s">
        <v>25</v>
      </c>
      <c r="E337" t="s">
        <v>16</v>
      </c>
      <c r="F337">
        <v>1295</v>
      </c>
      <c r="G337">
        <v>153</v>
      </c>
      <c r="H337">
        <v>81</v>
      </c>
      <c r="I337">
        <v>48350</v>
      </c>
      <c r="J337">
        <v>61033</v>
      </c>
      <c r="K337">
        <v>232</v>
      </c>
      <c r="L337">
        <v>3.1623578076525334E-2</v>
      </c>
      <c r="M337">
        <v>296</v>
      </c>
      <c r="N337" t="s">
        <v>21</v>
      </c>
      <c r="O337">
        <f t="shared" si="5"/>
        <v>1529</v>
      </c>
    </row>
    <row r="338" spans="1:15">
      <c r="A338" t="s">
        <v>251</v>
      </c>
      <c r="B338" t="s">
        <v>24</v>
      </c>
      <c r="C338" s="27">
        <v>45396</v>
      </c>
      <c r="D338" t="s">
        <v>25</v>
      </c>
      <c r="E338" t="s">
        <v>16</v>
      </c>
      <c r="F338">
        <v>1295</v>
      </c>
      <c r="G338">
        <v>153</v>
      </c>
      <c r="H338">
        <v>81</v>
      </c>
      <c r="I338">
        <v>48350</v>
      </c>
      <c r="J338">
        <v>61033</v>
      </c>
      <c r="K338">
        <v>232</v>
      </c>
      <c r="L338">
        <v>3.1623578076525334E-2</v>
      </c>
      <c r="M338">
        <v>296</v>
      </c>
      <c r="N338" t="s">
        <v>377</v>
      </c>
      <c r="O338">
        <f t="shared" si="5"/>
        <v>1529</v>
      </c>
    </row>
    <row r="339" spans="1:15">
      <c r="A339" t="s">
        <v>252</v>
      </c>
      <c r="B339" t="s">
        <v>24</v>
      </c>
      <c r="C339" s="27">
        <v>45827</v>
      </c>
      <c r="D339" t="s">
        <v>25</v>
      </c>
      <c r="E339" t="s">
        <v>373</v>
      </c>
      <c r="F339">
        <v>1433</v>
      </c>
      <c r="G339">
        <v>452</v>
      </c>
      <c r="H339">
        <v>305</v>
      </c>
      <c r="I339">
        <v>54541</v>
      </c>
      <c r="J339">
        <v>63700</v>
      </c>
      <c r="K339">
        <v>296</v>
      </c>
      <c r="L339">
        <v>4.0153279184466734E-2</v>
      </c>
      <c r="M339">
        <v>275</v>
      </c>
      <c r="N339" t="s">
        <v>21</v>
      </c>
      <c r="O339">
        <f t="shared" si="5"/>
        <v>2190</v>
      </c>
    </row>
    <row r="340" spans="1:15">
      <c r="A340" t="s">
        <v>252</v>
      </c>
      <c r="B340" t="s">
        <v>24</v>
      </c>
      <c r="C340" s="27">
        <v>45827</v>
      </c>
      <c r="D340" t="s">
        <v>25</v>
      </c>
      <c r="E340" t="s">
        <v>373</v>
      </c>
      <c r="F340">
        <v>1433</v>
      </c>
      <c r="G340">
        <v>452</v>
      </c>
      <c r="H340">
        <v>305</v>
      </c>
      <c r="I340">
        <v>54541</v>
      </c>
      <c r="J340">
        <v>63700</v>
      </c>
      <c r="K340">
        <v>296</v>
      </c>
      <c r="L340">
        <v>4.0153279184466734E-2</v>
      </c>
      <c r="M340">
        <v>275</v>
      </c>
      <c r="N340" t="s">
        <v>377</v>
      </c>
      <c r="O340">
        <f t="shared" si="5"/>
        <v>2190</v>
      </c>
    </row>
    <row r="341" spans="1:15">
      <c r="A341" t="s">
        <v>253</v>
      </c>
      <c r="B341" t="s">
        <v>14</v>
      </c>
      <c r="C341" s="27">
        <v>45832</v>
      </c>
      <c r="D341" t="s">
        <v>25</v>
      </c>
      <c r="E341" t="s">
        <v>37</v>
      </c>
      <c r="F341">
        <v>4902</v>
      </c>
      <c r="G341">
        <v>422</v>
      </c>
      <c r="H341">
        <v>376</v>
      </c>
      <c r="I341">
        <v>31674</v>
      </c>
      <c r="J341">
        <v>53225</v>
      </c>
      <c r="K341">
        <v>147</v>
      </c>
      <c r="L341">
        <v>0.17995832544042431</v>
      </c>
      <c r="M341">
        <v>12</v>
      </c>
      <c r="N341" t="s">
        <v>42</v>
      </c>
      <c r="O341">
        <f t="shared" si="5"/>
        <v>5700</v>
      </c>
    </row>
    <row r="342" spans="1:15">
      <c r="A342" t="s">
        <v>254</v>
      </c>
      <c r="B342" t="s">
        <v>24</v>
      </c>
      <c r="C342" s="27">
        <v>45574</v>
      </c>
      <c r="D342" t="s">
        <v>15</v>
      </c>
      <c r="E342" t="s">
        <v>376</v>
      </c>
      <c r="F342">
        <v>2659</v>
      </c>
      <c r="G342">
        <v>167</v>
      </c>
      <c r="H342">
        <v>73</v>
      </c>
      <c r="I342">
        <v>23090</v>
      </c>
      <c r="J342">
        <v>25872</v>
      </c>
      <c r="K342">
        <v>293</v>
      </c>
      <c r="L342">
        <v>0.12555218709398008</v>
      </c>
      <c r="M342">
        <v>60</v>
      </c>
      <c r="N342" t="s">
        <v>45</v>
      </c>
      <c r="O342">
        <f t="shared" si="5"/>
        <v>2899</v>
      </c>
    </row>
    <row r="343" spans="1:15">
      <c r="A343" t="s">
        <v>255</v>
      </c>
      <c r="B343" t="s">
        <v>31</v>
      </c>
      <c r="C343" s="27">
        <v>45672</v>
      </c>
      <c r="D343" t="s">
        <v>15</v>
      </c>
      <c r="E343" t="s">
        <v>51</v>
      </c>
      <c r="F343">
        <v>2599</v>
      </c>
      <c r="G343">
        <v>324</v>
      </c>
      <c r="H343">
        <v>182</v>
      </c>
      <c r="I343">
        <v>37525</v>
      </c>
      <c r="J343">
        <v>37216</v>
      </c>
      <c r="K343">
        <v>186</v>
      </c>
      <c r="L343">
        <v>8.2744836775483013E-2</v>
      </c>
      <c r="M343">
        <v>166</v>
      </c>
      <c r="N343" t="s">
        <v>21</v>
      </c>
      <c r="O343">
        <f t="shared" si="5"/>
        <v>3105</v>
      </c>
    </row>
    <row r="344" spans="1:15">
      <c r="A344" t="s">
        <v>255</v>
      </c>
      <c r="B344" t="s">
        <v>31</v>
      </c>
      <c r="C344" s="27">
        <v>45672</v>
      </c>
      <c r="D344" t="s">
        <v>15</v>
      </c>
      <c r="E344" t="s">
        <v>51</v>
      </c>
      <c r="F344">
        <v>2599</v>
      </c>
      <c r="G344">
        <v>324</v>
      </c>
      <c r="H344">
        <v>182</v>
      </c>
      <c r="I344">
        <v>37525</v>
      </c>
      <c r="J344">
        <v>37216</v>
      </c>
      <c r="K344">
        <v>186</v>
      </c>
      <c r="L344">
        <v>8.2744836775483013E-2</v>
      </c>
      <c r="M344">
        <v>166</v>
      </c>
      <c r="N344" t="s">
        <v>378</v>
      </c>
      <c r="O344">
        <f t="shared" si="5"/>
        <v>3105</v>
      </c>
    </row>
    <row r="345" spans="1:15">
      <c r="A345" t="s">
        <v>256</v>
      </c>
      <c r="B345" t="s">
        <v>24</v>
      </c>
      <c r="C345" s="27">
        <v>45669</v>
      </c>
      <c r="D345" t="s">
        <v>15</v>
      </c>
      <c r="E345" t="s">
        <v>375</v>
      </c>
      <c r="F345">
        <v>1765</v>
      </c>
      <c r="G345">
        <v>285</v>
      </c>
      <c r="H345">
        <v>100</v>
      </c>
      <c r="I345">
        <v>41313</v>
      </c>
      <c r="J345">
        <v>56575</v>
      </c>
      <c r="K345">
        <v>174</v>
      </c>
      <c r="L345">
        <v>5.2041730205988429E-2</v>
      </c>
      <c r="M345">
        <v>248</v>
      </c>
      <c r="N345" t="s">
        <v>45</v>
      </c>
      <c r="O345">
        <f t="shared" si="5"/>
        <v>2150</v>
      </c>
    </row>
    <row r="346" spans="1:15">
      <c r="A346" t="s">
        <v>257</v>
      </c>
      <c r="B346" t="s">
        <v>14</v>
      </c>
      <c r="C346" s="27">
        <v>45808</v>
      </c>
      <c r="D346" t="s">
        <v>15</v>
      </c>
      <c r="E346" t="s">
        <v>373</v>
      </c>
      <c r="F346">
        <v>2169</v>
      </c>
      <c r="G346">
        <v>240</v>
      </c>
      <c r="H346">
        <v>57</v>
      </c>
      <c r="I346">
        <v>26109</v>
      </c>
      <c r="J346">
        <v>46667</v>
      </c>
      <c r="K346">
        <v>133</v>
      </c>
      <c r="L346">
        <v>9.4450189589796618E-2</v>
      </c>
      <c r="M346">
        <v>122</v>
      </c>
      <c r="N346" t="s">
        <v>45</v>
      </c>
      <c r="O346">
        <f t="shared" si="5"/>
        <v>2466</v>
      </c>
    </row>
    <row r="347" spans="1:15">
      <c r="A347" t="s">
        <v>257</v>
      </c>
      <c r="B347" t="s">
        <v>14</v>
      </c>
      <c r="C347" s="27">
        <v>45808</v>
      </c>
      <c r="D347" t="s">
        <v>15</v>
      </c>
      <c r="E347" t="s">
        <v>373</v>
      </c>
      <c r="F347">
        <v>2169</v>
      </c>
      <c r="G347">
        <v>240</v>
      </c>
      <c r="H347">
        <v>57</v>
      </c>
      <c r="I347">
        <v>26109</v>
      </c>
      <c r="J347">
        <v>46667</v>
      </c>
      <c r="K347">
        <v>133</v>
      </c>
      <c r="L347">
        <v>9.4450189589796618E-2</v>
      </c>
      <c r="M347">
        <v>122</v>
      </c>
      <c r="N347" t="s">
        <v>42</v>
      </c>
      <c r="O347">
        <f t="shared" si="5"/>
        <v>2466</v>
      </c>
    </row>
    <row r="348" spans="1:15">
      <c r="A348" t="s">
        <v>258</v>
      </c>
      <c r="B348" t="s">
        <v>24</v>
      </c>
      <c r="C348" s="27">
        <v>45579</v>
      </c>
      <c r="D348" t="s">
        <v>25</v>
      </c>
      <c r="E348" t="s">
        <v>20</v>
      </c>
      <c r="F348">
        <v>4303</v>
      </c>
      <c r="G348">
        <v>306</v>
      </c>
      <c r="H348">
        <v>302</v>
      </c>
      <c r="I348">
        <v>39575</v>
      </c>
      <c r="J348">
        <v>33762</v>
      </c>
      <c r="K348">
        <v>265</v>
      </c>
      <c r="L348">
        <v>0.12409349336702463</v>
      </c>
      <c r="M348">
        <v>61</v>
      </c>
      <c r="N348" t="s">
        <v>21</v>
      </c>
      <c r="O348">
        <f t="shared" si="5"/>
        <v>4911</v>
      </c>
    </row>
    <row r="349" spans="1:15">
      <c r="A349" t="s">
        <v>258</v>
      </c>
      <c r="B349" t="s">
        <v>24</v>
      </c>
      <c r="C349" s="27">
        <v>45579</v>
      </c>
      <c r="D349" t="s">
        <v>25</v>
      </c>
      <c r="E349" t="s">
        <v>20</v>
      </c>
      <c r="F349">
        <v>4303</v>
      </c>
      <c r="G349">
        <v>306</v>
      </c>
      <c r="H349">
        <v>302</v>
      </c>
      <c r="I349">
        <v>39575</v>
      </c>
      <c r="J349">
        <v>33762</v>
      </c>
      <c r="K349">
        <v>265</v>
      </c>
      <c r="L349">
        <v>0.12409349336702463</v>
      </c>
      <c r="M349">
        <v>61</v>
      </c>
      <c r="N349" t="s">
        <v>377</v>
      </c>
      <c r="O349">
        <f t="shared" si="5"/>
        <v>4911</v>
      </c>
    </row>
    <row r="350" spans="1:15">
      <c r="A350" t="s">
        <v>259</v>
      </c>
      <c r="B350" t="s">
        <v>24</v>
      </c>
      <c r="C350" s="27">
        <v>45332</v>
      </c>
      <c r="D350" t="s">
        <v>15</v>
      </c>
      <c r="E350" t="s">
        <v>374</v>
      </c>
      <c r="F350">
        <v>1519</v>
      </c>
      <c r="G350">
        <v>456</v>
      </c>
      <c r="H350">
        <v>379</v>
      </c>
      <c r="I350">
        <v>51611</v>
      </c>
      <c r="J350">
        <v>45880</v>
      </c>
      <c r="K350">
        <v>176</v>
      </c>
      <c r="L350">
        <v>4.5610431884675749E-2</v>
      </c>
      <c r="M350">
        <v>264</v>
      </c>
      <c r="N350" t="s">
        <v>45</v>
      </c>
      <c r="O350">
        <f t="shared" si="5"/>
        <v>2354</v>
      </c>
    </row>
    <row r="351" spans="1:15">
      <c r="A351" t="s">
        <v>260</v>
      </c>
      <c r="B351" t="s">
        <v>31</v>
      </c>
      <c r="C351" s="27">
        <v>45636</v>
      </c>
      <c r="D351" t="s">
        <v>15</v>
      </c>
      <c r="E351" t="s">
        <v>373</v>
      </c>
      <c r="F351">
        <v>2569</v>
      </c>
      <c r="G351">
        <v>140</v>
      </c>
      <c r="H351">
        <v>375</v>
      </c>
      <c r="I351">
        <v>38372</v>
      </c>
      <c r="J351">
        <v>22102</v>
      </c>
      <c r="K351">
        <v>255</v>
      </c>
      <c r="L351">
        <v>8.0371103929948923E-2</v>
      </c>
      <c r="M351">
        <v>177</v>
      </c>
      <c r="N351" t="s">
        <v>21</v>
      </c>
      <c r="O351">
        <f t="shared" si="5"/>
        <v>3084</v>
      </c>
    </row>
    <row r="352" spans="1:15">
      <c r="A352" t="s">
        <v>260</v>
      </c>
      <c r="B352" t="s">
        <v>31</v>
      </c>
      <c r="C352" s="27">
        <v>45636</v>
      </c>
      <c r="D352" t="s">
        <v>15</v>
      </c>
      <c r="E352" t="s">
        <v>373</v>
      </c>
      <c r="F352">
        <v>2569</v>
      </c>
      <c r="G352">
        <v>140</v>
      </c>
      <c r="H352">
        <v>375</v>
      </c>
      <c r="I352">
        <v>38372</v>
      </c>
      <c r="J352">
        <v>22102</v>
      </c>
      <c r="K352">
        <v>255</v>
      </c>
      <c r="L352">
        <v>8.0371103929948923E-2</v>
      </c>
      <c r="M352">
        <v>177</v>
      </c>
      <c r="N352" t="s">
        <v>378</v>
      </c>
      <c r="O352">
        <f t="shared" si="5"/>
        <v>3084</v>
      </c>
    </row>
    <row r="353" spans="1:15">
      <c r="A353" t="s">
        <v>261</v>
      </c>
      <c r="B353" t="s">
        <v>24</v>
      </c>
      <c r="C353" s="27">
        <v>45786</v>
      </c>
      <c r="D353" t="s">
        <v>25</v>
      </c>
      <c r="E353" t="s">
        <v>375</v>
      </c>
      <c r="F353">
        <v>2778</v>
      </c>
      <c r="G353">
        <v>241</v>
      </c>
      <c r="H353">
        <v>317</v>
      </c>
      <c r="I353">
        <v>26247</v>
      </c>
      <c r="J353">
        <v>20677</v>
      </c>
      <c r="K353">
        <v>282</v>
      </c>
      <c r="L353">
        <v>0.1271002400274317</v>
      </c>
      <c r="M353">
        <v>59</v>
      </c>
      <c r="N353" t="s">
        <v>377</v>
      </c>
      <c r="O353">
        <f t="shared" si="5"/>
        <v>3336</v>
      </c>
    </row>
    <row r="354" spans="1:15">
      <c r="A354" t="s">
        <v>261</v>
      </c>
      <c r="B354" t="s">
        <v>24</v>
      </c>
      <c r="C354" s="27">
        <v>45786</v>
      </c>
      <c r="D354" t="s">
        <v>25</v>
      </c>
      <c r="E354" t="s">
        <v>375</v>
      </c>
      <c r="F354">
        <v>2778</v>
      </c>
      <c r="G354">
        <v>241</v>
      </c>
      <c r="H354">
        <v>317</v>
      </c>
      <c r="I354">
        <v>26247</v>
      </c>
      <c r="J354">
        <v>20677</v>
      </c>
      <c r="K354">
        <v>282</v>
      </c>
      <c r="L354">
        <v>0.1271002400274317</v>
      </c>
      <c r="M354">
        <v>59</v>
      </c>
      <c r="N354" t="s">
        <v>42</v>
      </c>
      <c r="O354">
        <f t="shared" si="5"/>
        <v>3336</v>
      </c>
    </row>
    <row r="355" spans="1:15">
      <c r="A355" t="s">
        <v>262</v>
      </c>
      <c r="B355" t="s">
        <v>24</v>
      </c>
      <c r="C355" s="27">
        <v>45829</v>
      </c>
      <c r="D355" t="s">
        <v>15</v>
      </c>
      <c r="E355" t="s">
        <v>20</v>
      </c>
      <c r="F355">
        <v>3611</v>
      </c>
      <c r="G355">
        <v>127</v>
      </c>
      <c r="H355">
        <v>139</v>
      </c>
      <c r="I355">
        <v>44768</v>
      </c>
      <c r="J355">
        <v>29435</v>
      </c>
      <c r="K355">
        <v>178</v>
      </c>
      <c r="L355">
        <v>8.6602037169406718E-2</v>
      </c>
      <c r="M355">
        <v>148</v>
      </c>
      <c r="N355" t="s">
        <v>42</v>
      </c>
      <c r="O355">
        <f t="shared" si="5"/>
        <v>3877</v>
      </c>
    </row>
    <row r="356" spans="1:15">
      <c r="A356" t="s">
        <v>263</v>
      </c>
      <c r="B356" t="s">
        <v>24</v>
      </c>
      <c r="C356" s="27">
        <v>45462</v>
      </c>
      <c r="D356" t="s">
        <v>15</v>
      </c>
      <c r="E356" t="s">
        <v>373</v>
      </c>
      <c r="F356">
        <v>1224</v>
      </c>
      <c r="G356">
        <v>168</v>
      </c>
      <c r="H356">
        <v>199</v>
      </c>
      <c r="I356">
        <v>54232</v>
      </c>
      <c r="J356">
        <v>52844</v>
      </c>
      <c r="K356">
        <v>271</v>
      </c>
      <c r="L356">
        <v>2.9336922849977874E-2</v>
      </c>
      <c r="M356">
        <v>297</v>
      </c>
      <c r="N356" t="s">
        <v>45</v>
      </c>
      <c r="O356">
        <f t="shared" si="5"/>
        <v>1591</v>
      </c>
    </row>
    <row r="357" spans="1:15">
      <c r="A357" t="s">
        <v>264</v>
      </c>
      <c r="B357" t="s">
        <v>24</v>
      </c>
      <c r="C357" s="27">
        <v>45636</v>
      </c>
      <c r="D357" t="s">
        <v>15</v>
      </c>
      <c r="E357" t="s">
        <v>374</v>
      </c>
      <c r="F357">
        <v>4673</v>
      </c>
      <c r="G357">
        <v>270</v>
      </c>
      <c r="H357">
        <v>93</v>
      </c>
      <c r="I357">
        <v>45260</v>
      </c>
      <c r="J357">
        <v>57513</v>
      </c>
      <c r="K357">
        <v>103</v>
      </c>
      <c r="L357">
        <v>0.11126822801590809</v>
      </c>
      <c r="M357">
        <v>78</v>
      </c>
      <c r="N357" t="s">
        <v>42</v>
      </c>
      <c r="O357">
        <f t="shared" si="5"/>
        <v>5036</v>
      </c>
    </row>
    <row r="358" spans="1:15">
      <c r="A358" t="s">
        <v>265</v>
      </c>
      <c r="B358" t="s">
        <v>31</v>
      </c>
      <c r="C358" s="27">
        <v>45323</v>
      </c>
      <c r="D358" t="s">
        <v>15</v>
      </c>
      <c r="E358" t="s">
        <v>376</v>
      </c>
      <c r="F358">
        <v>1432</v>
      </c>
      <c r="G358">
        <v>437</v>
      </c>
      <c r="H358">
        <v>267</v>
      </c>
      <c r="I358">
        <v>40634</v>
      </c>
      <c r="J358">
        <v>54511</v>
      </c>
      <c r="K358">
        <v>197</v>
      </c>
      <c r="L358">
        <v>5.2566815966924252E-2</v>
      </c>
      <c r="M358">
        <v>244</v>
      </c>
      <c r="N358" t="s">
        <v>21</v>
      </c>
      <c r="O358">
        <f t="shared" si="5"/>
        <v>2136</v>
      </c>
    </row>
    <row r="359" spans="1:15">
      <c r="A359" t="s">
        <v>265</v>
      </c>
      <c r="B359" t="s">
        <v>31</v>
      </c>
      <c r="C359" s="27">
        <v>45323</v>
      </c>
      <c r="D359" t="s">
        <v>15</v>
      </c>
      <c r="E359" t="s">
        <v>376</v>
      </c>
      <c r="F359">
        <v>1432</v>
      </c>
      <c r="G359">
        <v>437</v>
      </c>
      <c r="H359">
        <v>267</v>
      </c>
      <c r="I359">
        <v>40634</v>
      </c>
      <c r="J359">
        <v>54511</v>
      </c>
      <c r="K359">
        <v>197</v>
      </c>
      <c r="L359">
        <v>5.2566815966924252E-2</v>
      </c>
      <c r="M359">
        <v>244</v>
      </c>
      <c r="N359" t="s">
        <v>378</v>
      </c>
      <c r="O359">
        <f t="shared" si="5"/>
        <v>2136</v>
      </c>
    </row>
    <row r="360" spans="1:15">
      <c r="A360" t="s">
        <v>266</v>
      </c>
      <c r="B360" t="s">
        <v>24</v>
      </c>
      <c r="C360" s="27">
        <v>45308</v>
      </c>
      <c r="D360" t="s">
        <v>25</v>
      </c>
      <c r="E360" t="s">
        <v>26</v>
      </c>
      <c r="F360">
        <v>2174</v>
      </c>
      <c r="G360">
        <v>499</v>
      </c>
      <c r="H360">
        <v>212</v>
      </c>
      <c r="I360">
        <v>54938</v>
      </c>
      <c r="J360">
        <v>27190</v>
      </c>
      <c r="K360">
        <v>265</v>
      </c>
      <c r="L360">
        <v>5.2513742764570971E-2</v>
      </c>
      <c r="M360">
        <v>245</v>
      </c>
      <c r="N360" t="s">
        <v>377</v>
      </c>
      <c r="O360">
        <f t="shared" si="5"/>
        <v>2885</v>
      </c>
    </row>
    <row r="361" spans="1:15">
      <c r="A361" t="s">
        <v>266</v>
      </c>
      <c r="B361" t="s">
        <v>24</v>
      </c>
      <c r="C361" s="27">
        <v>45308</v>
      </c>
      <c r="D361" t="s">
        <v>25</v>
      </c>
      <c r="E361" t="s">
        <v>26</v>
      </c>
      <c r="F361">
        <v>2174</v>
      </c>
      <c r="G361">
        <v>499</v>
      </c>
      <c r="H361">
        <v>212</v>
      </c>
      <c r="I361">
        <v>54938</v>
      </c>
      <c r="J361">
        <v>27190</v>
      </c>
      <c r="K361">
        <v>265</v>
      </c>
      <c r="L361">
        <v>5.2513742764570971E-2</v>
      </c>
      <c r="M361">
        <v>245</v>
      </c>
      <c r="N361" t="s">
        <v>42</v>
      </c>
      <c r="O361">
        <f t="shared" si="5"/>
        <v>2885</v>
      </c>
    </row>
    <row r="362" spans="1:15">
      <c r="A362" t="s">
        <v>267</v>
      </c>
      <c r="B362" t="s">
        <v>31</v>
      </c>
      <c r="C362" s="27">
        <v>45738</v>
      </c>
      <c r="D362" t="s">
        <v>15</v>
      </c>
      <c r="E362" t="s">
        <v>375</v>
      </c>
      <c r="F362">
        <v>4308</v>
      </c>
      <c r="G362">
        <v>171</v>
      </c>
      <c r="H362">
        <v>106</v>
      </c>
      <c r="I362">
        <v>36955</v>
      </c>
      <c r="J362">
        <v>23949</v>
      </c>
      <c r="K362">
        <v>294</v>
      </c>
      <c r="L362">
        <v>0.12406981463942633</v>
      </c>
      <c r="M362">
        <v>62</v>
      </c>
      <c r="N362" t="s">
        <v>21</v>
      </c>
      <c r="O362">
        <f t="shared" si="5"/>
        <v>4585</v>
      </c>
    </row>
    <row r="363" spans="1:15">
      <c r="A363" t="s">
        <v>267</v>
      </c>
      <c r="B363" t="s">
        <v>31</v>
      </c>
      <c r="C363" s="27">
        <v>45738</v>
      </c>
      <c r="D363" t="s">
        <v>15</v>
      </c>
      <c r="E363" t="s">
        <v>375</v>
      </c>
      <c r="F363">
        <v>4308</v>
      </c>
      <c r="G363">
        <v>171</v>
      </c>
      <c r="H363">
        <v>106</v>
      </c>
      <c r="I363">
        <v>36955</v>
      </c>
      <c r="J363">
        <v>23949</v>
      </c>
      <c r="K363">
        <v>294</v>
      </c>
      <c r="L363">
        <v>0.12406981463942633</v>
      </c>
      <c r="M363">
        <v>62</v>
      </c>
      <c r="N363" t="s">
        <v>378</v>
      </c>
      <c r="O363">
        <f t="shared" si="5"/>
        <v>4585</v>
      </c>
    </row>
    <row r="364" spans="1:15">
      <c r="A364" t="s">
        <v>268</v>
      </c>
      <c r="B364" t="s">
        <v>31</v>
      </c>
      <c r="C364" s="27">
        <v>45442</v>
      </c>
      <c r="D364" t="s">
        <v>57</v>
      </c>
      <c r="E364" t="s">
        <v>373</v>
      </c>
      <c r="F364">
        <v>1060</v>
      </c>
      <c r="G364">
        <v>442</v>
      </c>
      <c r="H364">
        <v>319</v>
      </c>
      <c r="I364">
        <v>57194</v>
      </c>
      <c r="J364">
        <v>24258</v>
      </c>
      <c r="K364">
        <v>101</v>
      </c>
      <c r="L364">
        <v>3.1839004091338254E-2</v>
      </c>
      <c r="M364">
        <v>295</v>
      </c>
      <c r="N364" t="s">
        <v>21</v>
      </c>
      <c r="O364">
        <f t="shared" si="5"/>
        <v>1821</v>
      </c>
    </row>
    <row r="365" spans="1:15">
      <c r="A365" t="s">
        <v>268</v>
      </c>
      <c r="B365" t="s">
        <v>31</v>
      </c>
      <c r="C365" s="27">
        <v>45442</v>
      </c>
      <c r="D365" t="s">
        <v>57</v>
      </c>
      <c r="E365" t="s">
        <v>373</v>
      </c>
      <c r="F365">
        <v>1060</v>
      </c>
      <c r="G365">
        <v>442</v>
      </c>
      <c r="H365">
        <v>319</v>
      </c>
      <c r="I365">
        <v>57194</v>
      </c>
      <c r="J365">
        <v>24258</v>
      </c>
      <c r="K365">
        <v>101</v>
      </c>
      <c r="L365">
        <v>3.1839004091338254E-2</v>
      </c>
      <c r="M365">
        <v>295</v>
      </c>
      <c r="N365" t="s">
        <v>45</v>
      </c>
      <c r="O365">
        <f t="shared" si="5"/>
        <v>1821</v>
      </c>
    </row>
    <row r="366" spans="1:15">
      <c r="A366" t="s">
        <v>269</v>
      </c>
      <c r="B366" t="s">
        <v>31</v>
      </c>
      <c r="C366" s="27">
        <v>45346</v>
      </c>
      <c r="D366" t="s">
        <v>15</v>
      </c>
      <c r="E366" t="s">
        <v>375</v>
      </c>
      <c r="F366">
        <v>4653</v>
      </c>
      <c r="G366">
        <v>226</v>
      </c>
      <c r="H366">
        <v>349</v>
      </c>
      <c r="I366">
        <v>56876</v>
      </c>
      <c r="J366">
        <v>28452</v>
      </c>
      <c r="K366">
        <v>257</v>
      </c>
      <c r="L366">
        <v>9.191926295801392E-2</v>
      </c>
      <c r="M366">
        <v>136</v>
      </c>
      <c r="N366" t="s">
        <v>21</v>
      </c>
      <c r="O366">
        <f t="shared" si="5"/>
        <v>5228</v>
      </c>
    </row>
    <row r="367" spans="1:15">
      <c r="A367" t="s">
        <v>269</v>
      </c>
      <c r="B367" t="s">
        <v>31</v>
      </c>
      <c r="C367" s="27">
        <v>45346</v>
      </c>
      <c r="D367" t="s">
        <v>15</v>
      </c>
      <c r="E367" t="s">
        <v>375</v>
      </c>
      <c r="F367">
        <v>4653</v>
      </c>
      <c r="G367">
        <v>226</v>
      </c>
      <c r="H367">
        <v>349</v>
      </c>
      <c r="I367">
        <v>56876</v>
      </c>
      <c r="J367">
        <v>28452</v>
      </c>
      <c r="K367">
        <v>257</v>
      </c>
      <c r="L367">
        <v>9.191926295801392E-2</v>
      </c>
      <c r="M367">
        <v>136</v>
      </c>
      <c r="N367" t="s">
        <v>378</v>
      </c>
      <c r="O367">
        <f t="shared" si="5"/>
        <v>5228</v>
      </c>
    </row>
    <row r="368" spans="1:15">
      <c r="A368" t="s">
        <v>270</v>
      </c>
      <c r="B368" t="s">
        <v>31</v>
      </c>
      <c r="C368" s="27">
        <v>45791</v>
      </c>
      <c r="D368" t="s">
        <v>15</v>
      </c>
      <c r="E368" t="s">
        <v>16</v>
      </c>
      <c r="F368">
        <v>1701</v>
      </c>
      <c r="G368">
        <v>272</v>
      </c>
      <c r="H368">
        <v>385</v>
      </c>
      <c r="I368">
        <v>47496</v>
      </c>
      <c r="J368">
        <v>40832</v>
      </c>
      <c r="K368">
        <v>246</v>
      </c>
      <c r="L368">
        <v>4.9646286003031836E-2</v>
      </c>
      <c r="M368">
        <v>257</v>
      </c>
      <c r="N368" t="s">
        <v>21</v>
      </c>
      <c r="O368">
        <f t="shared" si="5"/>
        <v>2358</v>
      </c>
    </row>
    <row r="369" spans="1:15">
      <c r="A369" t="s">
        <v>270</v>
      </c>
      <c r="B369" t="s">
        <v>31</v>
      </c>
      <c r="C369" s="27">
        <v>45791</v>
      </c>
      <c r="D369" t="s">
        <v>15</v>
      </c>
      <c r="E369" t="s">
        <v>16</v>
      </c>
      <c r="F369">
        <v>1701</v>
      </c>
      <c r="G369">
        <v>272</v>
      </c>
      <c r="H369">
        <v>385</v>
      </c>
      <c r="I369">
        <v>47496</v>
      </c>
      <c r="J369">
        <v>40832</v>
      </c>
      <c r="K369">
        <v>246</v>
      </c>
      <c r="L369">
        <v>4.9646286003031836E-2</v>
      </c>
      <c r="M369">
        <v>257</v>
      </c>
      <c r="N369" t="s">
        <v>378</v>
      </c>
      <c r="O369">
        <f t="shared" si="5"/>
        <v>2358</v>
      </c>
    </row>
    <row r="370" spans="1:15">
      <c r="A370" t="s">
        <v>271</v>
      </c>
      <c r="B370" t="s">
        <v>14</v>
      </c>
      <c r="C370" s="27">
        <v>45379</v>
      </c>
      <c r="D370" t="s">
        <v>15</v>
      </c>
      <c r="E370" t="s">
        <v>373</v>
      </c>
      <c r="F370">
        <v>1673</v>
      </c>
      <c r="G370">
        <v>280</v>
      </c>
      <c r="H370">
        <v>67</v>
      </c>
      <c r="I370">
        <v>29847</v>
      </c>
      <c r="J370">
        <v>48016</v>
      </c>
      <c r="K370">
        <v>213</v>
      </c>
      <c r="L370">
        <v>6.76784936509532E-2</v>
      </c>
      <c r="M370">
        <v>207</v>
      </c>
      <c r="N370" t="s">
        <v>45</v>
      </c>
      <c r="O370">
        <f t="shared" si="5"/>
        <v>2020</v>
      </c>
    </row>
    <row r="371" spans="1:15">
      <c r="A371" t="s">
        <v>271</v>
      </c>
      <c r="B371" t="s">
        <v>14</v>
      </c>
      <c r="C371" s="27">
        <v>45379</v>
      </c>
      <c r="D371" t="s">
        <v>15</v>
      </c>
      <c r="E371" t="s">
        <v>373</v>
      </c>
      <c r="F371">
        <v>1673</v>
      </c>
      <c r="G371">
        <v>280</v>
      </c>
      <c r="H371">
        <v>67</v>
      </c>
      <c r="I371">
        <v>29847</v>
      </c>
      <c r="J371">
        <v>48016</v>
      </c>
      <c r="K371">
        <v>213</v>
      </c>
      <c r="L371">
        <v>6.76784936509532E-2</v>
      </c>
      <c r="M371">
        <v>207</v>
      </c>
      <c r="N371" t="s">
        <v>42</v>
      </c>
      <c r="O371">
        <f t="shared" si="5"/>
        <v>2020</v>
      </c>
    </row>
    <row r="372" spans="1:15">
      <c r="A372" t="s">
        <v>272</v>
      </c>
      <c r="B372" t="s">
        <v>31</v>
      </c>
      <c r="C372" s="27">
        <v>45723</v>
      </c>
      <c r="D372" t="s">
        <v>15</v>
      </c>
      <c r="E372" t="s">
        <v>41</v>
      </c>
      <c r="F372">
        <v>4310</v>
      </c>
      <c r="G372">
        <v>284</v>
      </c>
      <c r="H372">
        <v>306</v>
      </c>
      <c r="I372">
        <v>44606</v>
      </c>
      <c r="J372">
        <v>42604</v>
      </c>
      <c r="K372">
        <v>290</v>
      </c>
      <c r="L372">
        <v>0.10985069273191947</v>
      </c>
      <c r="M372">
        <v>84</v>
      </c>
      <c r="N372" t="s">
        <v>21</v>
      </c>
      <c r="O372">
        <f t="shared" si="5"/>
        <v>4900</v>
      </c>
    </row>
    <row r="373" spans="1:15">
      <c r="A373" t="s">
        <v>272</v>
      </c>
      <c r="B373" t="s">
        <v>31</v>
      </c>
      <c r="C373" s="27">
        <v>45723</v>
      </c>
      <c r="D373" t="s">
        <v>15</v>
      </c>
      <c r="E373" t="s">
        <v>41</v>
      </c>
      <c r="F373">
        <v>4310</v>
      </c>
      <c r="G373">
        <v>284</v>
      </c>
      <c r="H373">
        <v>306</v>
      </c>
      <c r="I373">
        <v>44606</v>
      </c>
      <c r="J373">
        <v>42604</v>
      </c>
      <c r="K373">
        <v>290</v>
      </c>
      <c r="L373">
        <v>0.10985069273191947</v>
      </c>
      <c r="M373">
        <v>84</v>
      </c>
      <c r="N373" t="s">
        <v>378</v>
      </c>
      <c r="O373">
        <f t="shared" si="5"/>
        <v>4900</v>
      </c>
    </row>
    <row r="374" spans="1:15">
      <c r="A374" t="s">
        <v>273</v>
      </c>
      <c r="B374" t="s">
        <v>24</v>
      </c>
      <c r="C374" s="27">
        <v>45585</v>
      </c>
      <c r="D374" t="s">
        <v>15</v>
      </c>
      <c r="E374" t="s">
        <v>374</v>
      </c>
      <c r="F374">
        <v>2752</v>
      </c>
      <c r="G374">
        <v>309</v>
      </c>
      <c r="H374">
        <v>91</v>
      </c>
      <c r="I374">
        <v>39038</v>
      </c>
      <c r="J374">
        <v>28095</v>
      </c>
      <c r="K374">
        <v>277</v>
      </c>
      <c r="L374">
        <v>8.0741841282852611E-2</v>
      </c>
      <c r="M374">
        <v>175</v>
      </c>
      <c r="N374" t="s">
        <v>42</v>
      </c>
      <c r="O374">
        <f t="shared" si="5"/>
        <v>3152</v>
      </c>
    </row>
    <row r="375" spans="1:15">
      <c r="A375" t="s">
        <v>274</v>
      </c>
      <c r="B375" t="s">
        <v>24</v>
      </c>
      <c r="C375" s="27">
        <v>45324</v>
      </c>
      <c r="D375" t="s">
        <v>15</v>
      </c>
      <c r="E375" t="s">
        <v>374</v>
      </c>
      <c r="F375">
        <v>3818</v>
      </c>
      <c r="G375">
        <v>115</v>
      </c>
      <c r="H375">
        <v>286</v>
      </c>
      <c r="I375">
        <v>25127</v>
      </c>
      <c r="J375">
        <v>22277</v>
      </c>
      <c r="K375">
        <v>263</v>
      </c>
      <c r="L375">
        <v>0.16790703227603773</v>
      </c>
      <c r="M375">
        <v>18</v>
      </c>
      <c r="N375" t="s">
        <v>42</v>
      </c>
      <c r="O375">
        <f t="shared" si="5"/>
        <v>4219</v>
      </c>
    </row>
    <row r="376" spans="1:15">
      <c r="A376" t="s">
        <v>275</v>
      </c>
      <c r="B376" t="s">
        <v>31</v>
      </c>
      <c r="C376" s="27">
        <v>45542</v>
      </c>
      <c r="D376" t="s">
        <v>15</v>
      </c>
      <c r="E376" t="s">
        <v>51</v>
      </c>
      <c r="F376">
        <v>2101</v>
      </c>
      <c r="G376">
        <v>411</v>
      </c>
      <c r="H376">
        <v>190</v>
      </c>
      <c r="I376">
        <v>41791</v>
      </c>
      <c r="J376">
        <v>57090</v>
      </c>
      <c r="K376">
        <v>172</v>
      </c>
      <c r="L376">
        <v>6.4655069273288512E-2</v>
      </c>
      <c r="M376">
        <v>212</v>
      </c>
      <c r="N376" t="s">
        <v>21</v>
      </c>
      <c r="O376">
        <f t="shared" si="5"/>
        <v>2702</v>
      </c>
    </row>
    <row r="377" spans="1:15">
      <c r="A377" t="s">
        <v>275</v>
      </c>
      <c r="B377" t="s">
        <v>31</v>
      </c>
      <c r="C377" s="27">
        <v>45542</v>
      </c>
      <c r="D377" t="s">
        <v>15</v>
      </c>
      <c r="E377" t="s">
        <v>51</v>
      </c>
      <c r="F377">
        <v>2101</v>
      </c>
      <c r="G377">
        <v>411</v>
      </c>
      <c r="H377">
        <v>190</v>
      </c>
      <c r="I377">
        <v>41791</v>
      </c>
      <c r="J377">
        <v>57090</v>
      </c>
      <c r="K377">
        <v>172</v>
      </c>
      <c r="L377">
        <v>6.4655069273288512E-2</v>
      </c>
      <c r="M377">
        <v>212</v>
      </c>
      <c r="N377" t="s">
        <v>378</v>
      </c>
      <c r="O377">
        <f t="shared" si="5"/>
        <v>2702</v>
      </c>
    </row>
    <row r="378" spans="1:15">
      <c r="A378" t="s">
        <v>276</v>
      </c>
      <c r="B378" t="s">
        <v>14</v>
      </c>
      <c r="C378" s="27">
        <v>45646</v>
      </c>
      <c r="D378" t="s">
        <v>15</v>
      </c>
      <c r="E378" t="s">
        <v>16</v>
      </c>
      <c r="F378">
        <v>2519</v>
      </c>
      <c r="G378">
        <v>202</v>
      </c>
      <c r="H378">
        <v>239</v>
      </c>
      <c r="I378">
        <v>36245</v>
      </c>
      <c r="J378">
        <v>48606</v>
      </c>
      <c r="K378">
        <v>145</v>
      </c>
      <c r="L378">
        <v>8.1666436749896543E-2</v>
      </c>
      <c r="M378">
        <v>170</v>
      </c>
      <c r="N378" t="s">
        <v>21</v>
      </c>
      <c r="O378">
        <f t="shared" si="5"/>
        <v>2960</v>
      </c>
    </row>
    <row r="379" spans="1:15">
      <c r="A379" t="s">
        <v>277</v>
      </c>
      <c r="B379" t="s">
        <v>31</v>
      </c>
      <c r="C379" s="27">
        <v>45305</v>
      </c>
      <c r="D379" t="s">
        <v>15</v>
      </c>
      <c r="E379" t="s">
        <v>373</v>
      </c>
      <c r="F379">
        <v>4502</v>
      </c>
      <c r="G379">
        <v>238</v>
      </c>
      <c r="H379">
        <v>386</v>
      </c>
      <c r="I379">
        <v>39198</v>
      </c>
      <c r="J379">
        <v>25050</v>
      </c>
      <c r="K379">
        <v>297</v>
      </c>
      <c r="L379">
        <v>0.13077197816215114</v>
      </c>
      <c r="M379">
        <v>55</v>
      </c>
      <c r="N379" t="s">
        <v>21</v>
      </c>
      <c r="O379">
        <f t="shared" si="5"/>
        <v>5126</v>
      </c>
    </row>
    <row r="380" spans="1:15">
      <c r="A380" t="s">
        <v>277</v>
      </c>
      <c r="B380" t="s">
        <v>31</v>
      </c>
      <c r="C380" s="27">
        <v>45305</v>
      </c>
      <c r="D380" t="s">
        <v>15</v>
      </c>
      <c r="E380" t="s">
        <v>373</v>
      </c>
      <c r="F380">
        <v>4502</v>
      </c>
      <c r="G380">
        <v>238</v>
      </c>
      <c r="H380">
        <v>386</v>
      </c>
      <c r="I380">
        <v>39198</v>
      </c>
      <c r="J380">
        <v>25050</v>
      </c>
      <c r="K380">
        <v>297</v>
      </c>
      <c r="L380">
        <v>0.13077197816215114</v>
      </c>
      <c r="M380">
        <v>55</v>
      </c>
      <c r="N380" t="s">
        <v>378</v>
      </c>
      <c r="O380">
        <f t="shared" si="5"/>
        <v>5126</v>
      </c>
    </row>
    <row r="381" spans="1:15">
      <c r="A381" t="s">
        <v>278</v>
      </c>
      <c r="B381" t="s">
        <v>14</v>
      </c>
      <c r="C381" s="27">
        <v>45823</v>
      </c>
      <c r="D381" t="s">
        <v>15</v>
      </c>
      <c r="E381" t="s">
        <v>20</v>
      </c>
      <c r="F381">
        <v>2478</v>
      </c>
      <c r="G381">
        <v>427</v>
      </c>
      <c r="H381">
        <v>242</v>
      </c>
      <c r="I381">
        <v>59272</v>
      </c>
      <c r="J381">
        <v>37833</v>
      </c>
      <c r="K381">
        <v>214</v>
      </c>
      <c r="L381">
        <v>5.3094209744904843E-2</v>
      </c>
      <c r="M381">
        <v>242</v>
      </c>
      <c r="N381" t="s">
        <v>45</v>
      </c>
      <c r="O381">
        <f t="shared" si="5"/>
        <v>3147</v>
      </c>
    </row>
    <row r="382" spans="1:15">
      <c r="A382" t="s">
        <v>278</v>
      </c>
      <c r="B382" t="s">
        <v>14</v>
      </c>
      <c r="C382" s="27">
        <v>45823</v>
      </c>
      <c r="D382" t="s">
        <v>15</v>
      </c>
      <c r="E382" t="s">
        <v>20</v>
      </c>
      <c r="F382">
        <v>2478</v>
      </c>
      <c r="G382">
        <v>427</v>
      </c>
      <c r="H382">
        <v>242</v>
      </c>
      <c r="I382">
        <v>59272</v>
      </c>
      <c r="J382">
        <v>37833</v>
      </c>
      <c r="K382">
        <v>214</v>
      </c>
      <c r="L382">
        <v>5.3094209744904843E-2</v>
      </c>
      <c r="M382">
        <v>242</v>
      </c>
      <c r="N382" t="s">
        <v>42</v>
      </c>
      <c r="O382">
        <f t="shared" si="5"/>
        <v>3147</v>
      </c>
    </row>
    <row r="383" spans="1:15">
      <c r="A383" t="s">
        <v>279</v>
      </c>
      <c r="B383" t="s">
        <v>24</v>
      </c>
      <c r="C383" s="27">
        <v>45639</v>
      </c>
      <c r="D383" t="s">
        <v>25</v>
      </c>
      <c r="E383" t="s">
        <v>26</v>
      </c>
      <c r="F383">
        <v>4984</v>
      </c>
      <c r="G383">
        <v>300</v>
      </c>
      <c r="H383">
        <v>338</v>
      </c>
      <c r="I383">
        <v>32900</v>
      </c>
      <c r="J383">
        <v>31691</v>
      </c>
      <c r="K383">
        <v>160</v>
      </c>
      <c r="L383">
        <v>0.17088145896656534</v>
      </c>
      <c r="M383">
        <v>17</v>
      </c>
      <c r="N383" t="s">
        <v>377</v>
      </c>
      <c r="O383">
        <f t="shared" si="5"/>
        <v>5622</v>
      </c>
    </row>
    <row r="384" spans="1:15">
      <c r="A384" t="s">
        <v>279</v>
      </c>
      <c r="B384" t="s">
        <v>24</v>
      </c>
      <c r="C384" s="27">
        <v>45639</v>
      </c>
      <c r="D384" t="s">
        <v>25</v>
      </c>
      <c r="E384" t="s">
        <v>26</v>
      </c>
      <c r="F384">
        <v>4984</v>
      </c>
      <c r="G384">
        <v>300</v>
      </c>
      <c r="H384">
        <v>338</v>
      </c>
      <c r="I384">
        <v>32900</v>
      </c>
      <c r="J384">
        <v>31691</v>
      </c>
      <c r="K384">
        <v>160</v>
      </c>
      <c r="L384">
        <v>0.17088145896656534</v>
      </c>
      <c r="M384">
        <v>17</v>
      </c>
      <c r="N384" t="s">
        <v>42</v>
      </c>
      <c r="O384">
        <f t="shared" si="5"/>
        <v>5622</v>
      </c>
    </row>
    <row r="385" spans="1:15">
      <c r="A385" t="s">
        <v>280</v>
      </c>
      <c r="B385" t="s">
        <v>31</v>
      </c>
      <c r="C385" s="27">
        <v>45533</v>
      </c>
      <c r="D385" t="s">
        <v>15</v>
      </c>
      <c r="E385" t="s">
        <v>376</v>
      </c>
      <c r="F385">
        <v>4774</v>
      </c>
      <c r="G385">
        <v>389</v>
      </c>
      <c r="H385">
        <v>358</v>
      </c>
      <c r="I385">
        <v>52346</v>
      </c>
      <c r="J385">
        <v>30518</v>
      </c>
      <c r="K385">
        <v>277</v>
      </c>
      <c r="L385">
        <v>0.10547128720437092</v>
      </c>
      <c r="M385">
        <v>97</v>
      </c>
      <c r="N385" t="s">
        <v>21</v>
      </c>
      <c r="O385">
        <f t="shared" si="5"/>
        <v>5521</v>
      </c>
    </row>
    <row r="386" spans="1:15">
      <c r="A386" t="s">
        <v>280</v>
      </c>
      <c r="B386" t="s">
        <v>31</v>
      </c>
      <c r="C386" s="27">
        <v>45533</v>
      </c>
      <c r="D386" t="s">
        <v>15</v>
      </c>
      <c r="E386" t="s">
        <v>376</v>
      </c>
      <c r="F386">
        <v>4774</v>
      </c>
      <c r="G386">
        <v>389</v>
      </c>
      <c r="H386">
        <v>358</v>
      </c>
      <c r="I386">
        <v>52346</v>
      </c>
      <c r="J386">
        <v>30518</v>
      </c>
      <c r="K386">
        <v>277</v>
      </c>
      <c r="L386">
        <v>0.10547128720437092</v>
      </c>
      <c r="M386">
        <v>97</v>
      </c>
      <c r="N386" t="s">
        <v>378</v>
      </c>
      <c r="O386">
        <f t="shared" ref="O386:O449" si="6" xml:space="preserve"> F386 + G386+H386</f>
        <v>5521</v>
      </c>
    </row>
    <row r="387" spans="1:15">
      <c r="A387" t="s">
        <v>281</v>
      </c>
      <c r="B387" t="s">
        <v>24</v>
      </c>
      <c r="C387" s="27">
        <v>45550</v>
      </c>
      <c r="D387" t="s">
        <v>15</v>
      </c>
      <c r="E387" t="s">
        <v>37</v>
      </c>
      <c r="F387">
        <v>2145</v>
      </c>
      <c r="G387">
        <v>340</v>
      </c>
      <c r="H387">
        <v>85</v>
      </c>
      <c r="I387">
        <v>53323</v>
      </c>
      <c r="J387">
        <v>49938</v>
      </c>
      <c r="K387">
        <v>104</v>
      </c>
      <c r="L387">
        <v>4.819683813738912E-2</v>
      </c>
      <c r="M387">
        <v>258</v>
      </c>
      <c r="N387" t="s">
        <v>42</v>
      </c>
      <c r="O387">
        <f t="shared" si="6"/>
        <v>2570</v>
      </c>
    </row>
    <row r="388" spans="1:15">
      <c r="A388" t="s">
        <v>282</v>
      </c>
      <c r="B388" t="s">
        <v>24</v>
      </c>
      <c r="C388" s="27">
        <v>45759</v>
      </c>
      <c r="D388" t="s">
        <v>25</v>
      </c>
      <c r="E388" t="s">
        <v>374</v>
      </c>
      <c r="F388">
        <v>4315</v>
      </c>
      <c r="G388">
        <v>208</v>
      </c>
      <c r="H388">
        <v>273</v>
      </c>
      <c r="I388">
        <v>35780</v>
      </c>
      <c r="J388">
        <v>44349</v>
      </c>
      <c r="K388">
        <v>133</v>
      </c>
      <c r="L388">
        <v>0.13404136389044158</v>
      </c>
      <c r="M388">
        <v>52</v>
      </c>
      <c r="N388" t="s">
        <v>21</v>
      </c>
      <c r="O388">
        <f t="shared" si="6"/>
        <v>4796</v>
      </c>
    </row>
    <row r="389" spans="1:15">
      <c r="A389" t="s">
        <v>282</v>
      </c>
      <c r="B389" t="s">
        <v>24</v>
      </c>
      <c r="C389" s="27">
        <v>45759</v>
      </c>
      <c r="D389" t="s">
        <v>25</v>
      </c>
      <c r="E389" t="s">
        <v>374</v>
      </c>
      <c r="F389">
        <v>4315</v>
      </c>
      <c r="G389">
        <v>208</v>
      </c>
      <c r="H389">
        <v>273</v>
      </c>
      <c r="I389">
        <v>35780</v>
      </c>
      <c r="J389">
        <v>44349</v>
      </c>
      <c r="K389">
        <v>133</v>
      </c>
      <c r="L389">
        <v>0.13404136389044158</v>
      </c>
      <c r="M389">
        <v>52</v>
      </c>
      <c r="N389" t="s">
        <v>377</v>
      </c>
      <c r="O389">
        <f t="shared" si="6"/>
        <v>4796</v>
      </c>
    </row>
    <row r="390" spans="1:15">
      <c r="A390" t="s">
        <v>283</v>
      </c>
      <c r="B390" t="s">
        <v>24</v>
      </c>
      <c r="C390" s="27">
        <v>45636</v>
      </c>
      <c r="D390" t="s">
        <v>25</v>
      </c>
      <c r="E390" t="s">
        <v>376</v>
      </c>
      <c r="F390">
        <v>2267</v>
      </c>
      <c r="G390">
        <v>230</v>
      </c>
      <c r="H390">
        <v>243</v>
      </c>
      <c r="I390">
        <v>27904</v>
      </c>
      <c r="J390">
        <v>69771</v>
      </c>
      <c r="K390">
        <v>255</v>
      </c>
      <c r="L390">
        <v>9.8193807339449546E-2</v>
      </c>
      <c r="M390">
        <v>112</v>
      </c>
      <c r="N390" t="s">
        <v>21</v>
      </c>
      <c r="O390">
        <f t="shared" si="6"/>
        <v>2740</v>
      </c>
    </row>
    <row r="391" spans="1:15">
      <c r="A391" t="s">
        <v>283</v>
      </c>
      <c r="B391" t="s">
        <v>24</v>
      </c>
      <c r="C391" s="27">
        <v>45636</v>
      </c>
      <c r="D391" t="s">
        <v>25</v>
      </c>
      <c r="E391" t="s">
        <v>376</v>
      </c>
      <c r="F391">
        <v>2267</v>
      </c>
      <c r="G391">
        <v>230</v>
      </c>
      <c r="H391">
        <v>243</v>
      </c>
      <c r="I391">
        <v>27904</v>
      </c>
      <c r="J391">
        <v>69771</v>
      </c>
      <c r="K391">
        <v>255</v>
      </c>
      <c r="L391">
        <v>9.8193807339449546E-2</v>
      </c>
      <c r="M391">
        <v>112</v>
      </c>
      <c r="N391" t="s">
        <v>377</v>
      </c>
      <c r="O391">
        <f t="shared" si="6"/>
        <v>2740</v>
      </c>
    </row>
    <row r="392" spans="1:15">
      <c r="A392" t="s">
        <v>284</v>
      </c>
      <c r="B392" t="s">
        <v>31</v>
      </c>
      <c r="C392" s="27">
        <v>45816</v>
      </c>
      <c r="D392" t="s">
        <v>15</v>
      </c>
      <c r="E392" t="s">
        <v>375</v>
      </c>
      <c r="F392">
        <v>4375</v>
      </c>
      <c r="G392">
        <v>303</v>
      </c>
      <c r="H392">
        <v>294</v>
      </c>
      <c r="I392">
        <v>57468</v>
      </c>
      <c r="J392">
        <v>53397</v>
      </c>
      <c r="K392">
        <v>159</v>
      </c>
      <c r="L392">
        <v>8.6517714206166912E-2</v>
      </c>
      <c r="M392">
        <v>150</v>
      </c>
      <c r="N392" t="s">
        <v>21</v>
      </c>
      <c r="O392">
        <f t="shared" si="6"/>
        <v>4972</v>
      </c>
    </row>
    <row r="393" spans="1:15">
      <c r="A393" t="s">
        <v>284</v>
      </c>
      <c r="B393" t="s">
        <v>31</v>
      </c>
      <c r="C393" s="27">
        <v>45816</v>
      </c>
      <c r="D393" t="s">
        <v>15</v>
      </c>
      <c r="E393" t="s">
        <v>375</v>
      </c>
      <c r="F393">
        <v>4375</v>
      </c>
      <c r="G393">
        <v>303</v>
      </c>
      <c r="H393">
        <v>294</v>
      </c>
      <c r="I393">
        <v>57468</v>
      </c>
      <c r="J393">
        <v>53397</v>
      </c>
      <c r="K393">
        <v>159</v>
      </c>
      <c r="L393">
        <v>8.6517714206166912E-2</v>
      </c>
      <c r="M393">
        <v>150</v>
      </c>
      <c r="N393" t="s">
        <v>378</v>
      </c>
      <c r="O393">
        <f t="shared" si="6"/>
        <v>4972</v>
      </c>
    </row>
    <row r="394" spans="1:15">
      <c r="A394" t="s">
        <v>285</v>
      </c>
      <c r="B394" t="s">
        <v>24</v>
      </c>
      <c r="C394" s="27">
        <v>45666</v>
      </c>
      <c r="D394" t="s">
        <v>25</v>
      </c>
      <c r="E394" t="s">
        <v>51</v>
      </c>
      <c r="F394">
        <v>3817</v>
      </c>
      <c r="G394">
        <v>284</v>
      </c>
      <c r="H394">
        <v>204</v>
      </c>
      <c r="I394">
        <v>46434</v>
      </c>
      <c r="J394">
        <v>53396</v>
      </c>
      <c r="K394">
        <v>104</v>
      </c>
      <c r="L394">
        <v>9.2712236723090841E-2</v>
      </c>
      <c r="M394">
        <v>130</v>
      </c>
      <c r="N394" t="s">
        <v>377</v>
      </c>
      <c r="O394">
        <f t="shared" si="6"/>
        <v>4305</v>
      </c>
    </row>
    <row r="395" spans="1:15">
      <c r="A395" t="s">
        <v>285</v>
      </c>
      <c r="B395" t="s">
        <v>24</v>
      </c>
      <c r="C395" s="27">
        <v>45666</v>
      </c>
      <c r="D395" t="s">
        <v>25</v>
      </c>
      <c r="E395" t="s">
        <v>51</v>
      </c>
      <c r="F395">
        <v>3817</v>
      </c>
      <c r="G395">
        <v>284</v>
      </c>
      <c r="H395">
        <v>204</v>
      </c>
      <c r="I395">
        <v>46434</v>
      </c>
      <c r="J395">
        <v>53396</v>
      </c>
      <c r="K395">
        <v>104</v>
      </c>
      <c r="L395">
        <v>9.2712236723090841E-2</v>
      </c>
      <c r="M395">
        <v>130</v>
      </c>
      <c r="N395" t="s">
        <v>42</v>
      </c>
      <c r="O395">
        <f t="shared" si="6"/>
        <v>4305</v>
      </c>
    </row>
    <row r="396" spans="1:15">
      <c r="A396" t="s">
        <v>286</v>
      </c>
      <c r="B396" t="s">
        <v>24</v>
      </c>
      <c r="C396" s="27">
        <v>45481</v>
      </c>
      <c r="D396" t="s">
        <v>25</v>
      </c>
      <c r="E396" t="s">
        <v>41</v>
      </c>
      <c r="F396">
        <v>2981</v>
      </c>
      <c r="G396">
        <v>258</v>
      </c>
      <c r="H396">
        <v>168</v>
      </c>
      <c r="I396">
        <v>20677</v>
      </c>
      <c r="J396">
        <v>68290</v>
      </c>
      <c r="K396">
        <v>130</v>
      </c>
      <c r="L396">
        <v>0.16477245248343569</v>
      </c>
      <c r="M396">
        <v>22</v>
      </c>
      <c r="N396" t="s">
        <v>45</v>
      </c>
      <c r="O396">
        <f t="shared" si="6"/>
        <v>3407</v>
      </c>
    </row>
    <row r="397" spans="1:15">
      <c r="A397" t="s">
        <v>286</v>
      </c>
      <c r="B397" t="s">
        <v>24</v>
      </c>
      <c r="C397" s="27">
        <v>45481</v>
      </c>
      <c r="D397" t="s">
        <v>25</v>
      </c>
      <c r="E397" t="s">
        <v>41</v>
      </c>
      <c r="F397">
        <v>2981</v>
      </c>
      <c r="G397">
        <v>258</v>
      </c>
      <c r="H397">
        <v>168</v>
      </c>
      <c r="I397">
        <v>20677</v>
      </c>
      <c r="J397">
        <v>68290</v>
      </c>
      <c r="K397">
        <v>130</v>
      </c>
      <c r="L397">
        <v>0.16477245248343569</v>
      </c>
      <c r="M397">
        <v>22</v>
      </c>
      <c r="N397" t="s">
        <v>42</v>
      </c>
      <c r="O397">
        <f t="shared" si="6"/>
        <v>3407</v>
      </c>
    </row>
    <row r="398" spans="1:15">
      <c r="A398" t="s">
        <v>287</v>
      </c>
      <c r="B398" t="s">
        <v>24</v>
      </c>
      <c r="C398" s="27">
        <v>45551</v>
      </c>
      <c r="D398" t="s">
        <v>25</v>
      </c>
      <c r="E398" t="s">
        <v>51</v>
      </c>
      <c r="F398">
        <v>3300</v>
      </c>
      <c r="G398">
        <v>354</v>
      </c>
      <c r="H398">
        <v>397</v>
      </c>
      <c r="I398">
        <v>56773</v>
      </c>
      <c r="J398">
        <v>72110</v>
      </c>
      <c r="K398">
        <v>163</v>
      </c>
      <c r="L398">
        <v>7.1354340971940891E-2</v>
      </c>
      <c r="M398">
        <v>197</v>
      </c>
      <c r="N398" t="s">
        <v>21</v>
      </c>
      <c r="O398">
        <f t="shared" si="6"/>
        <v>4051</v>
      </c>
    </row>
    <row r="399" spans="1:15">
      <c r="A399" t="s">
        <v>287</v>
      </c>
      <c r="B399" t="s">
        <v>24</v>
      </c>
      <c r="C399" s="27">
        <v>45551</v>
      </c>
      <c r="D399" t="s">
        <v>25</v>
      </c>
      <c r="E399" t="s">
        <v>51</v>
      </c>
      <c r="F399">
        <v>3300</v>
      </c>
      <c r="G399">
        <v>354</v>
      </c>
      <c r="H399">
        <v>397</v>
      </c>
      <c r="I399">
        <v>56773</v>
      </c>
      <c r="J399">
        <v>72110</v>
      </c>
      <c r="K399">
        <v>163</v>
      </c>
      <c r="L399">
        <v>7.1354340971940891E-2</v>
      </c>
      <c r="M399">
        <v>197</v>
      </c>
      <c r="N399" t="s">
        <v>377</v>
      </c>
      <c r="O399">
        <f t="shared" si="6"/>
        <v>4051</v>
      </c>
    </row>
    <row r="400" spans="1:15">
      <c r="A400" t="s">
        <v>288</v>
      </c>
      <c r="B400" t="s">
        <v>31</v>
      </c>
      <c r="C400" s="27">
        <v>45457</v>
      </c>
      <c r="D400" t="s">
        <v>57</v>
      </c>
      <c r="E400" t="s">
        <v>376</v>
      </c>
      <c r="F400">
        <v>4722</v>
      </c>
      <c r="G400">
        <v>310</v>
      </c>
      <c r="H400">
        <v>344</v>
      </c>
      <c r="I400">
        <v>27911</v>
      </c>
      <c r="J400">
        <v>19000</v>
      </c>
      <c r="K400">
        <v>225</v>
      </c>
      <c r="L400">
        <v>0.19261223173659131</v>
      </c>
      <c r="M400">
        <v>8</v>
      </c>
      <c r="N400" t="s">
        <v>21</v>
      </c>
      <c r="O400">
        <f t="shared" si="6"/>
        <v>5376</v>
      </c>
    </row>
    <row r="401" spans="1:15">
      <c r="A401" t="s">
        <v>288</v>
      </c>
      <c r="B401" t="s">
        <v>31</v>
      </c>
      <c r="C401" s="27">
        <v>45457</v>
      </c>
      <c r="D401" t="s">
        <v>57</v>
      </c>
      <c r="E401" t="s">
        <v>376</v>
      </c>
      <c r="F401">
        <v>4722</v>
      </c>
      <c r="G401">
        <v>310</v>
      </c>
      <c r="H401">
        <v>344</v>
      </c>
      <c r="I401">
        <v>27911</v>
      </c>
      <c r="J401">
        <v>19000</v>
      </c>
      <c r="K401">
        <v>225</v>
      </c>
      <c r="L401">
        <v>0.19261223173659131</v>
      </c>
      <c r="M401">
        <v>8</v>
      </c>
      <c r="N401" t="s">
        <v>45</v>
      </c>
      <c r="O401">
        <f t="shared" si="6"/>
        <v>5376</v>
      </c>
    </row>
    <row r="402" spans="1:15">
      <c r="A402" t="s">
        <v>289</v>
      </c>
      <c r="B402" t="s">
        <v>14</v>
      </c>
      <c r="C402" s="27">
        <v>45357</v>
      </c>
      <c r="D402" t="s">
        <v>15</v>
      </c>
      <c r="E402" t="s">
        <v>373</v>
      </c>
      <c r="F402">
        <v>3529</v>
      </c>
      <c r="G402">
        <v>263</v>
      </c>
      <c r="H402">
        <v>107</v>
      </c>
      <c r="I402">
        <v>26570</v>
      </c>
      <c r="J402">
        <v>19367</v>
      </c>
      <c r="K402">
        <v>96</v>
      </c>
      <c r="L402">
        <v>0.14674444862627023</v>
      </c>
      <c r="M402">
        <v>39</v>
      </c>
      <c r="N402" t="s">
        <v>21</v>
      </c>
      <c r="O402">
        <f t="shared" si="6"/>
        <v>3899</v>
      </c>
    </row>
    <row r="403" spans="1:15">
      <c r="A403" t="s">
        <v>290</v>
      </c>
      <c r="B403" t="s">
        <v>24</v>
      </c>
      <c r="C403" s="27">
        <v>45792</v>
      </c>
      <c r="D403" t="s">
        <v>15</v>
      </c>
      <c r="E403" t="s">
        <v>51</v>
      </c>
      <c r="F403">
        <v>4782</v>
      </c>
      <c r="G403">
        <v>210</v>
      </c>
      <c r="H403">
        <v>311</v>
      </c>
      <c r="I403">
        <v>29793</v>
      </c>
      <c r="J403">
        <v>37543</v>
      </c>
      <c r="K403">
        <v>145</v>
      </c>
      <c r="L403">
        <v>0.17799483100057059</v>
      </c>
      <c r="M403">
        <v>13</v>
      </c>
      <c r="N403" t="s">
        <v>42</v>
      </c>
      <c r="O403">
        <f t="shared" si="6"/>
        <v>5303</v>
      </c>
    </row>
    <row r="404" spans="1:15">
      <c r="A404" t="s">
        <v>291</v>
      </c>
      <c r="B404" t="s">
        <v>24</v>
      </c>
      <c r="C404" s="27">
        <v>45480</v>
      </c>
      <c r="D404" t="s">
        <v>15</v>
      </c>
      <c r="E404" t="s">
        <v>373</v>
      </c>
      <c r="F404">
        <v>1848</v>
      </c>
      <c r="G404">
        <v>417</v>
      </c>
      <c r="H404">
        <v>294</v>
      </c>
      <c r="I404">
        <v>57819</v>
      </c>
      <c r="J404">
        <v>19798</v>
      </c>
      <c r="K404">
        <v>262</v>
      </c>
      <c r="L404">
        <v>4.4258807658382193E-2</v>
      </c>
      <c r="M404">
        <v>269</v>
      </c>
      <c r="N404" t="s">
        <v>45</v>
      </c>
      <c r="O404">
        <f t="shared" si="6"/>
        <v>2559</v>
      </c>
    </row>
    <row r="405" spans="1:15">
      <c r="A405" t="s">
        <v>292</v>
      </c>
      <c r="B405" t="s">
        <v>31</v>
      </c>
      <c r="C405" s="27">
        <v>45591</v>
      </c>
      <c r="D405" t="s">
        <v>15</v>
      </c>
      <c r="E405" t="s">
        <v>26</v>
      </c>
      <c r="F405">
        <v>4676</v>
      </c>
      <c r="G405">
        <v>211</v>
      </c>
      <c r="H405">
        <v>55</v>
      </c>
      <c r="I405">
        <v>45917</v>
      </c>
      <c r="J405">
        <v>73503</v>
      </c>
      <c r="K405">
        <v>248</v>
      </c>
      <c r="L405">
        <v>0.10762898272970794</v>
      </c>
      <c r="M405">
        <v>90</v>
      </c>
      <c r="N405" t="s">
        <v>21</v>
      </c>
      <c r="O405">
        <f t="shared" si="6"/>
        <v>4942</v>
      </c>
    </row>
    <row r="406" spans="1:15">
      <c r="A406" t="s">
        <v>292</v>
      </c>
      <c r="B406" t="s">
        <v>31</v>
      </c>
      <c r="C406" s="27">
        <v>45591</v>
      </c>
      <c r="D406" t="s">
        <v>15</v>
      </c>
      <c r="E406" t="s">
        <v>26</v>
      </c>
      <c r="F406">
        <v>4676</v>
      </c>
      <c r="G406">
        <v>211</v>
      </c>
      <c r="H406">
        <v>55</v>
      </c>
      <c r="I406">
        <v>45917</v>
      </c>
      <c r="J406">
        <v>73503</v>
      </c>
      <c r="K406">
        <v>248</v>
      </c>
      <c r="L406">
        <v>0.10762898272970794</v>
      </c>
      <c r="M406">
        <v>90</v>
      </c>
      <c r="N406" t="s">
        <v>378</v>
      </c>
      <c r="O406">
        <f t="shared" si="6"/>
        <v>4942</v>
      </c>
    </row>
    <row r="407" spans="1:15">
      <c r="A407" t="s">
        <v>293</v>
      </c>
      <c r="B407" t="s">
        <v>31</v>
      </c>
      <c r="C407" s="27">
        <v>45512</v>
      </c>
      <c r="D407" t="s">
        <v>15</v>
      </c>
      <c r="E407" t="s">
        <v>374</v>
      </c>
      <c r="F407">
        <v>1994</v>
      </c>
      <c r="G407">
        <v>197</v>
      </c>
      <c r="H407">
        <v>290</v>
      </c>
      <c r="I407">
        <v>49500</v>
      </c>
      <c r="J407">
        <v>23343</v>
      </c>
      <c r="K407">
        <v>160</v>
      </c>
      <c r="L407">
        <v>5.0121212121212122E-2</v>
      </c>
      <c r="M407">
        <v>254</v>
      </c>
      <c r="N407" t="s">
        <v>21</v>
      </c>
      <c r="O407">
        <f t="shared" si="6"/>
        <v>2481</v>
      </c>
    </row>
    <row r="408" spans="1:15">
      <c r="A408" t="s">
        <v>293</v>
      </c>
      <c r="B408" t="s">
        <v>31</v>
      </c>
      <c r="C408" s="27">
        <v>45512</v>
      </c>
      <c r="D408" t="s">
        <v>15</v>
      </c>
      <c r="E408" t="s">
        <v>374</v>
      </c>
      <c r="F408">
        <v>1994</v>
      </c>
      <c r="G408">
        <v>197</v>
      </c>
      <c r="H408">
        <v>290</v>
      </c>
      <c r="I408">
        <v>49500</v>
      </c>
      <c r="J408">
        <v>23343</v>
      </c>
      <c r="K408">
        <v>160</v>
      </c>
      <c r="L408">
        <v>5.0121212121212122E-2</v>
      </c>
      <c r="M408">
        <v>254</v>
      </c>
      <c r="N408" t="s">
        <v>378</v>
      </c>
      <c r="O408">
        <f t="shared" si="6"/>
        <v>2481</v>
      </c>
    </row>
    <row r="409" spans="1:15">
      <c r="A409" t="s">
        <v>294</v>
      </c>
      <c r="B409" t="s">
        <v>24</v>
      </c>
      <c r="C409" s="27">
        <v>45691</v>
      </c>
      <c r="D409" t="s">
        <v>15</v>
      </c>
      <c r="E409" t="s">
        <v>373</v>
      </c>
      <c r="F409">
        <v>4995</v>
      </c>
      <c r="G409">
        <v>231</v>
      </c>
      <c r="H409">
        <v>94</v>
      </c>
      <c r="I409">
        <v>34431</v>
      </c>
      <c r="J409">
        <v>32560</v>
      </c>
      <c r="K409">
        <v>262</v>
      </c>
      <c r="L409">
        <v>0.15451192239551567</v>
      </c>
      <c r="M409">
        <v>34</v>
      </c>
      <c r="N409" t="s">
        <v>42</v>
      </c>
      <c r="O409">
        <f t="shared" si="6"/>
        <v>5320</v>
      </c>
    </row>
    <row r="410" spans="1:15">
      <c r="A410" t="s">
        <v>295</v>
      </c>
      <c r="B410" t="s">
        <v>24</v>
      </c>
      <c r="C410" s="27">
        <v>45385</v>
      </c>
      <c r="D410" t="s">
        <v>25</v>
      </c>
      <c r="E410" t="s">
        <v>41</v>
      </c>
      <c r="F410">
        <v>2291</v>
      </c>
      <c r="G410">
        <v>146</v>
      </c>
      <c r="H410">
        <v>399</v>
      </c>
      <c r="I410">
        <v>49319</v>
      </c>
      <c r="J410">
        <v>28056</v>
      </c>
      <c r="K410">
        <v>90</v>
      </c>
      <c r="L410">
        <v>5.7503193495407452E-2</v>
      </c>
      <c r="M410">
        <v>232</v>
      </c>
      <c r="N410" t="s">
        <v>21</v>
      </c>
      <c r="O410">
        <f t="shared" si="6"/>
        <v>2836</v>
      </c>
    </row>
    <row r="411" spans="1:15">
      <c r="A411" t="s">
        <v>295</v>
      </c>
      <c r="B411" t="s">
        <v>24</v>
      </c>
      <c r="C411" s="27">
        <v>45385</v>
      </c>
      <c r="D411" t="s">
        <v>25</v>
      </c>
      <c r="E411" t="s">
        <v>41</v>
      </c>
      <c r="F411">
        <v>2291</v>
      </c>
      <c r="G411">
        <v>146</v>
      </c>
      <c r="H411">
        <v>399</v>
      </c>
      <c r="I411">
        <v>49319</v>
      </c>
      <c r="J411">
        <v>28056</v>
      </c>
      <c r="K411">
        <v>90</v>
      </c>
      <c r="L411">
        <v>5.7503193495407452E-2</v>
      </c>
      <c r="M411">
        <v>232</v>
      </c>
      <c r="N411" t="s">
        <v>377</v>
      </c>
      <c r="O411">
        <f t="shared" si="6"/>
        <v>2836</v>
      </c>
    </row>
    <row r="412" spans="1:15">
      <c r="A412" t="s">
        <v>296</v>
      </c>
      <c r="B412" t="s">
        <v>24</v>
      </c>
      <c r="C412" s="27">
        <v>45481</v>
      </c>
      <c r="D412" t="s">
        <v>25</v>
      </c>
      <c r="E412" t="s">
        <v>376</v>
      </c>
      <c r="F412">
        <v>2304</v>
      </c>
      <c r="G412">
        <v>289</v>
      </c>
      <c r="H412">
        <v>161</v>
      </c>
      <c r="I412">
        <v>52645</v>
      </c>
      <c r="J412">
        <v>66262</v>
      </c>
      <c r="K412">
        <v>146</v>
      </c>
      <c r="L412">
        <v>5.2312660271630736E-2</v>
      </c>
      <c r="M412">
        <v>246</v>
      </c>
      <c r="N412" t="s">
        <v>377</v>
      </c>
      <c r="O412">
        <f t="shared" si="6"/>
        <v>2754</v>
      </c>
    </row>
    <row r="413" spans="1:15">
      <c r="A413" t="s">
        <v>296</v>
      </c>
      <c r="B413" t="s">
        <v>24</v>
      </c>
      <c r="C413" s="27">
        <v>45481</v>
      </c>
      <c r="D413" t="s">
        <v>25</v>
      </c>
      <c r="E413" t="s">
        <v>376</v>
      </c>
      <c r="F413">
        <v>2304</v>
      </c>
      <c r="G413">
        <v>289</v>
      </c>
      <c r="H413">
        <v>161</v>
      </c>
      <c r="I413">
        <v>52645</v>
      </c>
      <c r="J413">
        <v>66262</v>
      </c>
      <c r="K413">
        <v>146</v>
      </c>
      <c r="L413">
        <v>5.2312660271630736E-2</v>
      </c>
      <c r="M413">
        <v>246</v>
      </c>
      <c r="N413" t="s">
        <v>42</v>
      </c>
      <c r="O413">
        <f t="shared" si="6"/>
        <v>2754</v>
      </c>
    </row>
    <row r="414" spans="1:15">
      <c r="A414" t="s">
        <v>297</v>
      </c>
      <c r="B414" t="s">
        <v>24</v>
      </c>
      <c r="C414" s="27">
        <v>45451</v>
      </c>
      <c r="D414" t="s">
        <v>25</v>
      </c>
      <c r="E414" t="s">
        <v>41</v>
      </c>
      <c r="F414">
        <v>3413</v>
      </c>
      <c r="G414">
        <v>326</v>
      </c>
      <c r="H414">
        <v>86</v>
      </c>
      <c r="I414">
        <v>44680</v>
      </c>
      <c r="J414">
        <v>52719</v>
      </c>
      <c r="K414">
        <v>272</v>
      </c>
      <c r="L414">
        <v>8.5608773500447627E-2</v>
      </c>
      <c r="M414">
        <v>153</v>
      </c>
      <c r="N414" t="s">
        <v>21</v>
      </c>
      <c r="O414">
        <f t="shared" si="6"/>
        <v>3825</v>
      </c>
    </row>
    <row r="415" spans="1:15">
      <c r="A415" t="s">
        <v>297</v>
      </c>
      <c r="B415" t="s">
        <v>24</v>
      </c>
      <c r="C415" s="27">
        <v>45451</v>
      </c>
      <c r="D415" t="s">
        <v>25</v>
      </c>
      <c r="E415" t="s">
        <v>41</v>
      </c>
      <c r="F415">
        <v>3413</v>
      </c>
      <c r="G415">
        <v>326</v>
      </c>
      <c r="H415">
        <v>86</v>
      </c>
      <c r="I415">
        <v>44680</v>
      </c>
      <c r="J415">
        <v>52719</v>
      </c>
      <c r="K415">
        <v>272</v>
      </c>
      <c r="L415">
        <v>8.5608773500447627E-2</v>
      </c>
      <c r="M415">
        <v>153</v>
      </c>
      <c r="N415" t="s">
        <v>377</v>
      </c>
      <c r="O415">
        <f t="shared" si="6"/>
        <v>3825</v>
      </c>
    </row>
    <row r="416" spans="1:15">
      <c r="A416" t="s">
        <v>298</v>
      </c>
      <c r="B416" t="s">
        <v>31</v>
      </c>
      <c r="C416" s="27">
        <v>45736</v>
      </c>
      <c r="D416" t="s">
        <v>57</v>
      </c>
      <c r="E416" t="s">
        <v>374</v>
      </c>
      <c r="F416">
        <v>1453</v>
      </c>
      <c r="G416">
        <v>156</v>
      </c>
      <c r="H416">
        <v>178</v>
      </c>
      <c r="I416">
        <v>52980</v>
      </c>
      <c r="J416">
        <v>57180</v>
      </c>
      <c r="K416">
        <v>286</v>
      </c>
      <c r="L416">
        <v>3.3729709324273313E-2</v>
      </c>
      <c r="M416">
        <v>292</v>
      </c>
      <c r="N416" t="s">
        <v>21</v>
      </c>
      <c r="O416">
        <f t="shared" si="6"/>
        <v>1787</v>
      </c>
    </row>
    <row r="417" spans="1:15">
      <c r="A417" t="s">
        <v>298</v>
      </c>
      <c r="B417" t="s">
        <v>31</v>
      </c>
      <c r="C417" s="27">
        <v>45736</v>
      </c>
      <c r="D417" t="s">
        <v>57</v>
      </c>
      <c r="E417" t="s">
        <v>374</v>
      </c>
      <c r="F417">
        <v>1453</v>
      </c>
      <c r="G417">
        <v>156</v>
      </c>
      <c r="H417">
        <v>178</v>
      </c>
      <c r="I417">
        <v>52980</v>
      </c>
      <c r="J417">
        <v>57180</v>
      </c>
      <c r="K417">
        <v>286</v>
      </c>
      <c r="L417">
        <v>3.3729709324273313E-2</v>
      </c>
      <c r="M417">
        <v>292</v>
      </c>
      <c r="N417" t="s">
        <v>45</v>
      </c>
      <c r="O417">
        <f t="shared" si="6"/>
        <v>1787</v>
      </c>
    </row>
    <row r="418" spans="1:15">
      <c r="A418" t="s">
        <v>299</v>
      </c>
      <c r="B418" t="s">
        <v>24</v>
      </c>
      <c r="C418" s="27">
        <v>45676</v>
      </c>
      <c r="D418" t="s">
        <v>25</v>
      </c>
      <c r="E418" t="s">
        <v>375</v>
      </c>
      <c r="F418">
        <v>1651</v>
      </c>
      <c r="G418">
        <v>480</v>
      </c>
      <c r="H418">
        <v>282</v>
      </c>
      <c r="I418">
        <v>32140</v>
      </c>
      <c r="J418">
        <v>70560</v>
      </c>
      <c r="K418">
        <v>138</v>
      </c>
      <c r="L418">
        <v>7.5077784691972627E-2</v>
      </c>
      <c r="M418">
        <v>188</v>
      </c>
      <c r="N418" t="s">
        <v>45</v>
      </c>
      <c r="O418">
        <f t="shared" si="6"/>
        <v>2413</v>
      </c>
    </row>
    <row r="419" spans="1:15">
      <c r="A419" t="s">
        <v>299</v>
      </c>
      <c r="B419" t="s">
        <v>24</v>
      </c>
      <c r="C419" s="27">
        <v>45676</v>
      </c>
      <c r="D419" t="s">
        <v>25</v>
      </c>
      <c r="E419" t="s">
        <v>375</v>
      </c>
      <c r="F419">
        <v>1651</v>
      </c>
      <c r="G419">
        <v>480</v>
      </c>
      <c r="H419">
        <v>282</v>
      </c>
      <c r="I419">
        <v>32140</v>
      </c>
      <c r="J419">
        <v>70560</v>
      </c>
      <c r="K419">
        <v>138</v>
      </c>
      <c r="L419">
        <v>7.5077784691972627E-2</v>
      </c>
      <c r="M419">
        <v>188</v>
      </c>
      <c r="N419" t="s">
        <v>42</v>
      </c>
      <c r="O419">
        <f t="shared" si="6"/>
        <v>2413</v>
      </c>
    </row>
    <row r="420" spans="1:15">
      <c r="A420" t="s">
        <v>300</v>
      </c>
      <c r="B420" t="s">
        <v>24</v>
      </c>
      <c r="C420" s="27">
        <v>45662</v>
      </c>
      <c r="D420" t="s">
        <v>25</v>
      </c>
      <c r="E420" t="s">
        <v>20</v>
      </c>
      <c r="F420">
        <v>3341</v>
      </c>
      <c r="G420">
        <v>154</v>
      </c>
      <c r="H420">
        <v>123</v>
      </c>
      <c r="I420">
        <v>43369</v>
      </c>
      <c r="J420">
        <v>49035</v>
      </c>
      <c r="K420">
        <v>128</v>
      </c>
      <c r="L420">
        <v>8.3423643616408028E-2</v>
      </c>
      <c r="M420">
        <v>163</v>
      </c>
      <c r="N420" t="s">
        <v>377</v>
      </c>
      <c r="O420">
        <f t="shared" si="6"/>
        <v>3618</v>
      </c>
    </row>
    <row r="421" spans="1:15">
      <c r="A421" t="s">
        <v>300</v>
      </c>
      <c r="B421" t="s">
        <v>24</v>
      </c>
      <c r="C421" s="27">
        <v>45662</v>
      </c>
      <c r="D421" t="s">
        <v>25</v>
      </c>
      <c r="E421" t="s">
        <v>20</v>
      </c>
      <c r="F421">
        <v>3341</v>
      </c>
      <c r="G421">
        <v>154</v>
      </c>
      <c r="H421">
        <v>123</v>
      </c>
      <c r="I421">
        <v>43369</v>
      </c>
      <c r="J421">
        <v>49035</v>
      </c>
      <c r="K421">
        <v>128</v>
      </c>
      <c r="L421">
        <v>8.3423643616408028E-2</v>
      </c>
      <c r="M421">
        <v>163</v>
      </c>
      <c r="N421" t="s">
        <v>42</v>
      </c>
      <c r="O421">
        <f t="shared" si="6"/>
        <v>3618</v>
      </c>
    </row>
    <row r="422" spans="1:15">
      <c r="A422" t="s">
        <v>301</v>
      </c>
      <c r="B422" t="s">
        <v>24</v>
      </c>
      <c r="C422" s="27">
        <v>45612</v>
      </c>
      <c r="D422" t="s">
        <v>15</v>
      </c>
      <c r="E422" t="s">
        <v>374</v>
      </c>
      <c r="F422">
        <v>2972</v>
      </c>
      <c r="G422">
        <v>263</v>
      </c>
      <c r="H422">
        <v>308</v>
      </c>
      <c r="I422">
        <v>51740</v>
      </c>
      <c r="J422">
        <v>28214</v>
      </c>
      <c r="K422">
        <v>190</v>
      </c>
      <c r="L422">
        <v>6.8477000386548123E-2</v>
      </c>
      <c r="M422">
        <v>206</v>
      </c>
      <c r="N422" t="s">
        <v>45</v>
      </c>
      <c r="O422">
        <f t="shared" si="6"/>
        <v>3543</v>
      </c>
    </row>
    <row r="423" spans="1:15">
      <c r="A423" t="s">
        <v>302</v>
      </c>
      <c r="B423" t="s">
        <v>24</v>
      </c>
      <c r="C423" s="27">
        <v>45626</v>
      </c>
      <c r="D423" t="s">
        <v>25</v>
      </c>
      <c r="E423" t="s">
        <v>20</v>
      </c>
      <c r="F423">
        <v>4963</v>
      </c>
      <c r="G423">
        <v>255</v>
      </c>
      <c r="H423">
        <v>193</v>
      </c>
      <c r="I423">
        <v>44386</v>
      </c>
      <c r="J423">
        <v>28415</v>
      </c>
      <c r="K423">
        <v>174</v>
      </c>
      <c r="L423">
        <v>0.12190780876853062</v>
      </c>
      <c r="M423">
        <v>63</v>
      </c>
      <c r="N423" t="s">
        <v>377</v>
      </c>
      <c r="O423">
        <f t="shared" si="6"/>
        <v>5411</v>
      </c>
    </row>
    <row r="424" spans="1:15">
      <c r="A424" t="s">
        <v>302</v>
      </c>
      <c r="B424" t="s">
        <v>24</v>
      </c>
      <c r="C424" s="27">
        <v>45626</v>
      </c>
      <c r="D424" t="s">
        <v>25</v>
      </c>
      <c r="E424" t="s">
        <v>20</v>
      </c>
      <c r="F424">
        <v>4963</v>
      </c>
      <c r="G424">
        <v>255</v>
      </c>
      <c r="H424">
        <v>193</v>
      </c>
      <c r="I424">
        <v>44386</v>
      </c>
      <c r="J424">
        <v>28415</v>
      </c>
      <c r="K424">
        <v>174</v>
      </c>
      <c r="L424">
        <v>0.12190780876853062</v>
      </c>
      <c r="M424">
        <v>63</v>
      </c>
      <c r="N424" t="s">
        <v>42</v>
      </c>
      <c r="O424">
        <f t="shared" si="6"/>
        <v>5411</v>
      </c>
    </row>
    <row r="425" spans="1:15">
      <c r="A425" t="s">
        <v>303</v>
      </c>
      <c r="B425" t="s">
        <v>31</v>
      </c>
      <c r="C425" s="27">
        <v>45378</v>
      </c>
      <c r="D425" t="s">
        <v>15</v>
      </c>
      <c r="E425" t="s">
        <v>375</v>
      </c>
      <c r="F425">
        <v>2399</v>
      </c>
      <c r="G425">
        <v>191</v>
      </c>
      <c r="H425">
        <v>221</v>
      </c>
      <c r="I425">
        <v>51603</v>
      </c>
      <c r="J425">
        <v>40033</v>
      </c>
      <c r="K425">
        <v>173</v>
      </c>
      <c r="L425">
        <v>5.4473577117609438E-2</v>
      </c>
      <c r="M425">
        <v>240</v>
      </c>
      <c r="N425" t="s">
        <v>21</v>
      </c>
      <c r="O425">
        <f t="shared" si="6"/>
        <v>2811</v>
      </c>
    </row>
    <row r="426" spans="1:15">
      <c r="A426" t="s">
        <v>303</v>
      </c>
      <c r="B426" t="s">
        <v>31</v>
      </c>
      <c r="C426" s="27">
        <v>45378</v>
      </c>
      <c r="D426" t="s">
        <v>15</v>
      </c>
      <c r="E426" t="s">
        <v>375</v>
      </c>
      <c r="F426">
        <v>2399</v>
      </c>
      <c r="G426">
        <v>191</v>
      </c>
      <c r="H426">
        <v>221</v>
      </c>
      <c r="I426">
        <v>51603</v>
      </c>
      <c r="J426">
        <v>40033</v>
      </c>
      <c r="K426">
        <v>173</v>
      </c>
      <c r="L426">
        <v>5.4473577117609438E-2</v>
      </c>
      <c r="M426">
        <v>240</v>
      </c>
      <c r="N426" t="s">
        <v>378</v>
      </c>
      <c r="O426">
        <f t="shared" si="6"/>
        <v>2811</v>
      </c>
    </row>
    <row r="427" spans="1:15">
      <c r="A427" t="s">
        <v>304</v>
      </c>
      <c r="B427" t="s">
        <v>31</v>
      </c>
      <c r="C427" s="27">
        <v>45808</v>
      </c>
      <c r="D427" t="s">
        <v>57</v>
      </c>
      <c r="E427" t="s">
        <v>37</v>
      </c>
      <c r="F427">
        <v>2162</v>
      </c>
      <c r="G427">
        <v>318</v>
      </c>
      <c r="H427">
        <v>83</v>
      </c>
      <c r="I427">
        <v>46719</v>
      </c>
      <c r="J427">
        <v>20482</v>
      </c>
      <c r="K427">
        <v>185</v>
      </c>
      <c r="L427">
        <v>5.4859907104176028E-2</v>
      </c>
      <c r="M427">
        <v>236</v>
      </c>
      <c r="N427" t="s">
        <v>21</v>
      </c>
      <c r="O427">
        <f t="shared" si="6"/>
        <v>2563</v>
      </c>
    </row>
    <row r="428" spans="1:15">
      <c r="A428" t="s">
        <v>304</v>
      </c>
      <c r="B428" t="s">
        <v>31</v>
      </c>
      <c r="C428" s="27">
        <v>45808</v>
      </c>
      <c r="D428" t="s">
        <v>57</v>
      </c>
      <c r="E428" t="s">
        <v>37</v>
      </c>
      <c r="F428">
        <v>2162</v>
      </c>
      <c r="G428">
        <v>318</v>
      </c>
      <c r="H428">
        <v>83</v>
      </c>
      <c r="I428">
        <v>46719</v>
      </c>
      <c r="J428">
        <v>20482</v>
      </c>
      <c r="K428">
        <v>185</v>
      </c>
      <c r="L428">
        <v>5.4859907104176028E-2</v>
      </c>
      <c r="M428">
        <v>236</v>
      </c>
      <c r="N428" t="s">
        <v>45</v>
      </c>
      <c r="O428">
        <f t="shared" si="6"/>
        <v>2563</v>
      </c>
    </row>
    <row r="429" spans="1:15">
      <c r="A429" t="s">
        <v>305</v>
      </c>
      <c r="B429" t="s">
        <v>24</v>
      </c>
      <c r="C429" s="27">
        <v>45825</v>
      </c>
      <c r="D429" t="s">
        <v>25</v>
      </c>
      <c r="E429" t="s">
        <v>20</v>
      </c>
      <c r="F429">
        <v>4341</v>
      </c>
      <c r="G429">
        <v>141</v>
      </c>
      <c r="H429">
        <v>63</v>
      </c>
      <c r="I429">
        <v>50081</v>
      </c>
      <c r="J429">
        <v>27507</v>
      </c>
      <c r="K429">
        <v>221</v>
      </c>
      <c r="L429">
        <v>9.0752980172121162E-2</v>
      </c>
      <c r="M429">
        <v>137</v>
      </c>
      <c r="N429" t="s">
        <v>21</v>
      </c>
      <c r="O429">
        <f t="shared" si="6"/>
        <v>4545</v>
      </c>
    </row>
    <row r="430" spans="1:15">
      <c r="A430" t="s">
        <v>305</v>
      </c>
      <c r="B430" t="s">
        <v>24</v>
      </c>
      <c r="C430" s="27">
        <v>45825</v>
      </c>
      <c r="D430" t="s">
        <v>25</v>
      </c>
      <c r="E430" t="s">
        <v>20</v>
      </c>
      <c r="F430">
        <v>4341</v>
      </c>
      <c r="G430">
        <v>141</v>
      </c>
      <c r="H430">
        <v>63</v>
      </c>
      <c r="I430">
        <v>50081</v>
      </c>
      <c r="J430">
        <v>27507</v>
      </c>
      <c r="K430">
        <v>221</v>
      </c>
      <c r="L430">
        <v>9.0752980172121162E-2</v>
      </c>
      <c r="M430">
        <v>137</v>
      </c>
      <c r="N430" t="s">
        <v>377</v>
      </c>
      <c r="O430">
        <f t="shared" si="6"/>
        <v>4545</v>
      </c>
    </row>
    <row r="431" spans="1:15">
      <c r="A431" t="s">
        <v>306</v>
      </c>
      <c r="B431" t="s">
        <v>14</v>
      </c>
      <c r="C431" s="27">
        <v>45442</v>
      </c>
      <c r="D431" t="s">
        <v>25</v>
      </c>
      <c r="E431" t="s">
        <v>37</v>
      </c>
      <c r="F431">
        <v>2448</v>
      </c>
      <c r="G431">
        <v>464</v>
      </c>
      <c r="H431">
        <v>98</v>
      </c>
      <c r="I431">
        <v>25737</v>
      </c>
      <c r="J431">
        <v>48545</v>
      </c>
      <c r="K431">
        <v>246</v>
      </c>
      <c r="L431">
        <v>0.11695224773672146</v>
      </c>
      <c r="M431">
        <v>68</v>
      </c>
      <c r="N431" t="s">
        <v>42</v>
      </c>
      <c r="O431">
        <f t="shared" si="6"/>
        <v>3010</v>
      </c>
    </row>
    <row r="432" spans="1:15">
      <c r="A432" t="s">
        <v>307</v>
      </c>
      <c r="B432" t="s">
        <v>31</v>
      </c>
      <c r="C432" s="27">
        <v>45604</v>
      </c>
      <c r="D432" t="s">
        <v>15</v>
      </c>
      <c r="E432" t="s">
        <v>41</v>
      </c>
      <c r="F432">
        <v>2471</v>
      </c>
      <c r="G432">
        <v>166</v>
      </c>
      <c r="H432">
        <v>320</v>
      </c>
      <c r="I432">
        <v>48254</v>
      </c>
      <c r="J432">
        <v>46900</v>
      </c>
      <c r="K432">
        <v>111</v>
      </c>
      <c r="L432">
        <v>6.1279893894806647E-2</v>
      </c>
      <c r="M432">
        <v>219</v>
      </c>
      <c r="N432" t="s">
        <v>21</v>
      </c>
      <c r="O432">
        <f t="shared" si="6"/>
        <v>2957</v>
      </c>
    </row>
    <row r="433" spans="1:15">
      <c r="A433" t="s">
        <v>307</v>
      </c>
      <c r="B433" t="s">
        <v>31</v>
      </c>
      <c r="C433" s="27">
        <v>45604</v>
      </c>
      <c r="D433" t="s">
        <v>15</v>
      </c>
      <c r="E433" t="s">
        <v>41</v>
      </c>
      <c r="F433">
        <v>2471</v>
      </c>
      <c r="G433">
        <v>166</v>
      </c>
      <c r="H433">
        <v>320</v>
      </c>
      <c r="I433">
        <v>48254</v>
      </c>
      <c r="J433">
        <v>46900</v>
      </c>
      <c r="K433">
        <v>111</v>
      </c>
      <c r="L433">
        <v>6.1279893894806647E-2</v>
      </c>
      <c r="M433">
        <v>219</v>
      </c>
      <c r="N433" t="s">
        <v>378</v>
      </c>
      <c r="O433">
        <f t="shared" si="6"/>
        <v>2957</v>
      </c>
    </row>
    <row r="434" spans="1:15">
      <c r="A434" t="s">
        <v>308</v>
      </c>
      <c r="B434" t="s">
        <v>31</v>
      </c>
      <c r="C434" s="27">
        <v>45368</v>
      </c>
      <c r="D434" t="s">
        <v>57</v>
      </c>
      <c r="E434" t="s">
        <v>20</v>
      </c>
      <c r="F434">
        <v>2692</v>
      </c>
      <c r="G434">
        <v>446</v>
      </c>
      <c r="H434">
        <v>216</v>
      </c>
      <c r="I434">
        <v>45818</v>
      </c>
      <c r="J434">
        <v>62723</v>
      </c>
      <c r="K434">
        <v>85</v>
      </c>
      <c r="L434">
        <v>7.3202671439172376E-2</v>
      </c>
      <c r="M434">
        <v>193</v>
      </c>
      <c r="N434" t="s">
        <v>21</v>
      </c>
      <c r="O434">
        <f t="shared" si="6"/>
        <v>3354</v>
      </c>
    </row>
    <row r="435" spans="1:15">
      <c r="A435" t="s">
        <v>308</v>
      </c>
      <c r="B435" t="s">
        <v>31</v>
      </c>
      <c r="C435" s="27">
        <v>45368</v>
      </c>
      <c r="D435" t="s">
        <v>57</v>
      </c>
      <c r="E435" t="s">
        <v>20</v>
      </c>
      <c r="F435">
        <v>2692</v>
      </c>
      <c r="G435">
        <v>446</v>
      </c>
      <c r="H435">
        <v>216</v>
      </c>
      <c r="I435">
        <v>45818</v>
      </c>
      <c r="J435">
        <v>62723</v>
      </c>
      <c r="K435">
        <v>85</v>
      </c>
      <c r="L435">
        <v>7.3202671439172376E-2</v>
      </c>
      <c r="M435">
        <v>193</v>
      </c>
      <c r="N435" t="s">
        <v>45</v>
      </c>
      <c r="O435">
        <f t="shared" si="6"/>
        <v>3354</v>
      </c>
    </row>
    <row r="436" spans="1:15">
      <c r="A436" t="s">
        <v>309</v>
      </c>
      <c r="B436" t="s">
        <v>31</v>
      </c>
      <c r="C436" s="27">
        <v>45464</v>
      </c>
      <c r="D436" t="s">
        <v>57</v>
      </c>
      <c r="E436" t="s">
        <v>375</v>
      </c>
      <c r="F436">
        <v>4621</v>
      </c>
      <c r="G436">
        <v>374</v>
      </c>
      <c r="H436">
        <v>298</v>
      </c>
      <c r="I436">
        <v>56979</v>
      </c>
      <c r="J436">
        <v>24098</v>
      </c>
      <c r="K436">
        <v>205</v>
      </c>
      <c r="L436">
        <v>9.2893873181347508E-2</v>
      </c>
      <c r="M436">
        <v>129</v>
      </c>
      <c r="N436" t="s">
        <v>21</v>
      </c>
      <c r="O436">
        <f t="shared" si="6"/>
        <v>5293</v>
      </c>
    </row>
    <row r="437" spans="1:15">
      <c r="A437" t="s">
        <v>309</v>
      </c>
      <c r="B437" t="s">
        <v>31</v>
      </c>
      <c r="C437" s="27">
        <v>45464</v>
      </c>
      <c r="D437" t="s">
        <v>57</v>
      </c>
      <c r="E437" t="s">
        <v>375</v>
      </c>
      <c r="F437">
        <v>4621</v>
      </c>
      <c r="G437">
        <v>374</v>
      </c>
      <c r="H437">
        <v>298</v>
      </c>
      <c r="I437">
        <v>56979</v>
      </c>
      <c r="J437">
        <v>24098</v>
      </c>
      <c r="K437">
        <v>205</v>
      </c>
      <c r="L437">
        <v>9.2893873181347508E-2</v>
      </c>
      <c r="M437">
        <v>129</v>
      </c>
      <c r="N437" t="s">
        <v>45</v>
      </c>
      <c r="O437">
        <f t="shared" si="6"/>
        <v>5293</v>
      </c>
    </row>
    <row r="438" spans="1:15">
      <c r="A438" t="s">
        <v>310</v>
      </c>
      <c r="B438" t="s">
        <v>24</v>
      </c>
      <c r="C438" s="27">
        <v>45609</v>
      </c>
      <c r="D438" t="s">
        <v>25</v>
      </c>
      <c r="E438" t="s">
        <v>26</v>
      </c>
      <c r="F438">
        <v>1409</v>
      </c>
      <c r="G438">
        <v>466</v>
      </c>
      <c r="H438">
        <v>105</v>
      </c>
      <c r="I438">
        <v>58923</v>
      </c>
      <c r="J438">
        <v>38753</v>
      </c>
      <c r="K438">
        <v>265</v>
      </c>
      <c r="L438">
        <v>3.3603177027646251E-2</v>
      </c>
      <c r="M438">
        <v>293</v>
      </c>
      <c r="N438" t="s">
        <v>21</v>
      </c>
      <c r="O438">
        <f t="shared" si="6"/>
        <v>1980</v>
      </c>
    </row>
    <row r="439" spans="1:15">
      <c r="A439" t="s">
        <v>310</v>
      </c>
      <c r="B439" t="s">
        <v>24</v>
      </c>
      <c r="C439" s="27">
        <v>45609</v>
      </c>
      <c r="D439" t="s">
        <v>25</v>
      </c>
      <c r="E439" t="s">
        <v>26</v>
      </c>
      <c r="F439">
        <v>1409</v>
      </c>
      <c r="G439">
        <v>466</v>
      </c>
      <c r="H439">
        <v>105</v>
      </c>
      <c r="I439">
        <v>58923</v>
      </c>
      <c r="J439">
        <v>38753</v>
      </c>
      <c r="K439">
        <v>265</v>
      </c>
      <c r="L439">
        <v>3.3603177027646251E-2</v>
      </c>
      <c r="M439">
        <v>293</v>
      </c>
      <c r="N439" t="s">
        <v>377</v>
      </c>
      <c r="O439">
        <f t="shared" si="6"/>
        <v>1980</v>
      </c>
    </row>
    <row r="440" spans="1:15">
      <c r="A440" t="s">
        <v>311</v>
      </c>
      <c r="B440" t="s">
        <v>24</v>
      </c>
      <c r="C440" s="27">
        <v>45693</v>
      </c>
      <c r="D440" t="s">
        <v>25</v>
      </c>
      <c r="E440" t="s">
        <v>16</v>
      </c>
      <c r="F440">
        <v>3029</v>
      </c>
      <c r="G440">
        <v>440</v>
      </c>
      <c r="H440">
        <v>66</v>
      </c>
      <c r="I440">
        <v>23815</v>
      </c>
      <c r="J440">
        <v>47895</v>
      </c>
      <c r="K440">
        <v>210</v>
      </c>
      <c r="L440">
        <v>0.14843585975225698</v>
      </c>
      <c r="M440">
        <v>37</v>
      </c>
      <c r="N440" t="s">
        <v>21</v>
      </c>
      <c r="O440">
        <f t="shared" si="6"/>
        <v>3535</v>
      </c>
    </row>
    <row r="441" spans="1:15">
      <c r="A441" t="s">
        <v>311</v>
      </c>
      <c r="B441" t="s">
        <v>24</v>
      </c>
      <c r="C441" s="27">
        <v>45693</v>
      </c>
      <c r="D441" t="s">
        <v>25</v>
      </c>
      <c r="E441" t="s">
        <v>16</v>
      </c>
      <c r="F441">
        <v>3029</v>
      </c>
      <c r="G441">
        <v>440</v>
      </c>
      <c r="H441">
        <v>66</v>
      </c>
      <c r="I441">
        <v>23815</v>
      </c>
      <c r="J441">
        <v>47895</v>
      </c>
      <c r="K441">
        <v>210</v>
      </c>
      <c r="L441">
        <v>0.14843585975225698</v>
      </c>
      <c r="M441">
        <v>37</v>
      </c>
      <c r="N441" t="s">
        <v>377</v>
      </c>
      <c r="O441">
        <f t="shared" si="6"/>
        <v>3535</v>
      </c>
    </row>
    <row r="442" spans="1:15">
      <c r="A442" t="s">
        <v>312</v>
      </c>
      <c r="B442" t="s">
        <v>24</v>
      </c>
      <c r="C442" s="27">
        <v>45603</v>
      </c>
      <c r="D442" t="s">
        <v>15</v>
      </c>
      <c r="E442" t="s">
        <v>20</v>
      </c>
      <c r="F442">
        <v>2229</v>
      </c>
      <c r="G442">
        <v>395</v>
      </c>
      <c r="H442">
        <v>328</v>
      </c>
      <c r="I442">
        <v>56921</v>
      </c>
      <c r="J442">
        <v>37176</v>
      </c>
      <c r="K442">
        <v>126</v>
      </c>
      <c r="L442">
        <v>5.1861351697967357E-2</v>
      </c>
      <c r="M442">
        <v>249</v>
      </c>
      <c r="N442" t="s">
        <v>45</v>
      </c>
      <c r="O442">
        <f t="shared" si="6"/>
        <v>2952</v>
      </c>
    </row>
    <row r="443" spans="1:15">
      <c r="A443" t="s">
        <v>313</v>
      </c>
      <c r="B443" t="s">
        <v>24</v>
      </c>
      <c r="C443" s="27">
        <v>45334</v>
      </c>
      <c r="D443" t="s">
        <v>15</v>
      </c>
      <c r="E443" t="s">
        <v>20</v>
      </c>
      <c r="F443">
        <v>2691</v>
      </c>
      <c r="G443">
        <v>486</v>
      </c>
      <c r="H443">
        <v>206</v>
      </c>
      <c r="I443">
        <v>51133</v>
      </c>
      <c r="J443">
        <v>44583</v>
      </c>
      <c r="K443">
        <v>276</v>
      </c>
      <c r="L443">
        <v>6.6160796354604659E-2</v>
      </c>
      <c r="M443">
        <v>210</v>
      </c>
      <c r="N443" t="s">
        <v>42</v>
      </c>
      <c r="O443">
        <f t="shared" si="6"/>
        <v>3383</v>
      </c>
    </row>
    <row r="444" spans="1:15">
      <c r="A444" t="s">
        <v>314</v>
      </c>
      <c r="B444" t="s">
        <v>14</v>
      </c>
      <c r="C444" s="27">
        <v>45573</v>
      </c>
      <c r="D444" t="s">
        <v>15</v>
      </c>
      <c r="E444" t="s">
        <v>20</v>
      </c>
      <c r="F444">
        <v>2110</v>
      </c>
      <c r="G444">
        <v>384</v>
      </c>
      <c r="H444">
        <v>236</v>
      </c>
      <c r="I444">
        <v>49965</v>
      </c>
      <c r="J444">
        <v>61555</v>
      </c>
      <c r="K444">
        <v>195</v>
      </c>
      <c r="L444">
        <v>5.4638246772740921E-2</v>
      </c>
      <c r="M444">
        <v>237</v>
      </c>
      <c r="N444" t="s">
        <v>21</v>
      </c>
      <c r="O444">
        <f t="shared" si="6"/>
        <v>2730</v>
      </c>
    </row>
    <row r="445" spans="1:15">
      <c r="A445" t="s">
        <v>315</v>
      </c>
      <c r="B445" t="s">
        <v>14</v>
      </c>
      <c r="C445" s="27">
        <v>45341</v>
      </c>
      <c r="D445" t="s">
        <v>15</v>
      </c>
      <c r="E445" t="s">
        <v>376</v>
      </c>
      <c r="F445">
        <v>4752</v>
      </c>
      <c r="G445">
        <v>449</v>
      </c>
      <c r="H445">
        <v>309</v>
      </c>
      <c r="I445">
        <v>58530</v>
      </c>
      <c r="J445">
        <v>26630</v>
      </c>
      <c r="K445">
        <v>234</v>
      </c>
      <c r="L445">
        <v>9.4139757389372969E-2</v>
      </c>
      <c r="M445">
        <v>125</v>
      </c>
      <c r="N445" t="s">
        <v>21</v>
      </c>
      <c r="O445">
        <f t="shared" si="6"/>
        <v>5510</v>
      </c>
    </row>
    <row r="446" spans="1:15">
      <c r="A446" t="s">
        <v>316</v>
      </c>
      <c r="B446" t="s">
        <v>24</v>
      </c>
      <c r="C446" s="27">
        <v>45720</v>
      </c>
      <c r="D446" t="s">
        <v>15</v>
      </c>
      <c r="E446" t="s">
        <v>16</v>
      </c>
      <c r="F446">
        <v>2177</v>
      </c>
      <c r="G446">
        <v>258</v>
      </c>
      <c r="H446">
        <v>292</v>
      </c>
      <c r="I446">
        <v>47276</v>
      </c>
      <c r="J446">
        <v>51324</v>
      </c>
      <c r="K446">
        <v>143</v>
      </c>
      <c r="L446">
        <v>5.7682545054573146E-2</v>
      </c>
      <c r="M446">
        <v>231</v>
      </c>
      <c r="N446" t="s">
        <v>42</v>
      </c>
      <c r="O446">
        <f t="shared" si="6"/>
        <v>2727</v>
      </c>
    </row>
    <row r="447" spans="1:15">
      <c r="A447" t="s">
        <v>317</v>
      </c>
      <c r="B447" t="s">
        <v>14</v>
      </c>
      <c r="C447" s="27">
        <v>45691</v>
      </c>
      <c r="D447" t="s">
        <v>25</v>
      </c>
      <c r="E447" t="s">
        <v>26</v>
      </c>
      <c r="F447">
        <v>1205</v>
      </c>
      <c r="G447">
        <v>486</v>
      </c>
      <c r="H447">
        <v>269</v>
      </c>
      <c r="I447">
        <v>23341</v>
      </c>
      <c r="J447">
        <v>42411</v>
      </c>
      <c r="K447">
        <v>184</v>
      </c>
      <c r="L447">
        <v>8.3972409065592737E-2</v>
      </c>
      <c r="M447">
        <v>161</v>
      </c>
      <c r="N447" t="s">
        <v>42</v>
      </c>
      <c r="O447">
        <f t="shared" si="6"/>
        <v>1960</v>
      </c>
    </row>
    <row r="448" spans="1:15">
      <c r="A448" t="s">
        <v>318</v>
      </c>
      <c r="B448" t="s">
        <v>14</v>
      </c>
      <c r="C448" s="27">
        <v>45628</v>
      </c>
      <c r="D448" t="s">
        <v>15</v>
      </c>
      <c r="E448" t="s">
        <v>41</v>
      </c>
      <c r="F448">
        <v>3194</v>
      </c>
      <c r="G448">
        <v>292</v>
      </c>
      <c r="H448">
        <v>245</v>
      </c>
      <c r="I448">
        <v>56371</v>
      </c>
      <c r="J448">
        <v>65597</v>
      </c>
      <c r="K448">
        <v>163</v>
      </c>
      <c r="L448">
        <v>6.6186514342481059E-2</v>
      </c>
      <c r="M448">
        <v>209</v>
      </c>
      <c r="N448" t="s">
        <v>45</v>
      </c>
      <c r="O448">
        <f t="shared" si="6"/>
        <v>3731</v>
      </c>
    </row>
    <row r="449" spans="1:15">
      <c r="A449" t="s">
        <v>318</v>
      </c>
      <c r="B449" t="s">
        <v>14</v>
      </c>
      <c r="C449" s="27">
        <v>45628</v>
      </c>
      <c r="D449" t="s">
        <v>15</v>
      </c>
      <c r="E449" t="s">
        <v>41</v>
      </c>
      <c r="F449">
        <v>3194</v>
      </c>
      <c r="G449">
        <v>292</v>
      </c>
      <c r="H449">
        <v>245</v>
      </c>
      <c r="I449">
        <v>56371</v>
      </c>
      <c r="J449">
        <v>65597</v>
      </c>
      <c r="K449">
        <v>163</v>
      </c>
      <c r="L449">
        <v>6.6186514342481059E-2</v>
      </c>
      <c r="M449">
        <v>209</v>
      </c>
      <c r="N449" t="s">
        <v>42</v>
      </c>
      <c r="O449">
        <f t="shared" si="6"/>
        <v>3731</v>
      </c>
    </row>
    <row r="450" spans="1:15">
      <c r="A450" t="s">
        <v>319</v>
      </c>
      <c r="B450" t="s">
        <v>24</v>
      </c>
      <c r="C450" s="27">
        <v>45676</v>
      </c>
      <c r="D450" t="s">
        <v>25</v>
      </c>
      <c r="E450" t="s">
        <v>26</v>
      </c>
      <c r="F450">
        <v>3507</v>
      </c>
      <c r="G450">
        <v>295</v>
      </c>
      <c r="H450">
        <v>371</v>
      </c>
      <c r="I450">
        <v>20410</v>
      </c>
      <c r="J450">
        <v>53965</v>
      </c>
      <c r="K450">
        <v>212</v>
      </c>
      <c r="L450">
        <v>0.20445859872611466</v>
      </c>
      <c r="M450">
        <v>4</v>
      </c>
      <c r="N450" t="s">
        <v>45</v>
      </c>
      <c r="O450">
        <f t="shared" ref="O450:O484" si="7" xml:space="preserve"> F450 + G450+H450</f>
        <v>4173</v>
      </c>
    </row>
    <row r="451" spans="1:15">
      <c r="A451" t="s">
        <v>319</v>
      </c>
      <c r="B451" t="s">
        <v>24</v>
      </c>
      <c r="C451" s="27">
        <v>45676</v>
      </c>
      <c r="D451" t="s">
        <v>25</v>
      </c>
      <c r="E451" t="s">
        <v>26</v>
      </c>
      <c r="F451">
        <v>3507</v>
      </c>
      <c r="G451">
        <v>295</v>
      </c>
      <c r="H451">
        <v>371</v>
      </c>
      <c r="I451">
        <v>20410</v>
      </c>
      <c r="J451">
        <v>53965</v>
      </c>
      <c r="K451">
        <v>212</v>
      </c>
      <c r="L451">
        <v>0.20445859872611466</v>
      </c>
      <c r="M451">
        <v>4</v>
      </c>
      <c r="N451" t="s">
        <v>42</v>
      </c>
      <c r="O451">
        <f t="shared" si="7"/>
        <v>4173</v>
      </c>
    </row>
    <row r="452" spans="1:15">
      <c r="A452" t="s">
        <v>320</v>
      </c>
      <c r="B452" t="s">
        <v>24</v>
      </c>
      <c r="C452" s="27">
        <v>45563</v>
      </c>
      <c r="D452" t="s">
        <v>25</v>
      </c>
      <c r="E452" t="s">
        <v>376</v>
      </c>
      <c r="F452">
        <v>4471</v>
      </c>
      <c r="G452">
        <v>317</v>
      </c>
      <c r="H452">
        <v>249</v>
      </c>
      <c r="I452">
        <v>44862</v>
      </c>
      <c r="J452">
        <v>33365</v>
      </c>
      <c r="K452">
        <v>184</v>
      </c>
      <c r="L452">
        <v>0.1122776514644911</v>
      </c>
      <c r="M452">
        <v>77</v>
      </c>
      <c r="N452" t="s">
        <v>21</v>
      </c>
      <c r="O452">
        <f t="shared" si="7"/>
        <v>5037</v>
      </c>
    </row>
    <row r="453" spans="1:15">
      <c r="A453" t="s">
        <v>320</v>
      </c>
      <c r="B453" t="s">
        <v>24</v>
      </c>
      <c r="C453" s="27">
        <v>45563</v>
      </c>
      <c r="D453" t="s">
        <v>25</v>
      </c>
      <c r="E453" t="s">
        <v>376</v>
      </c>
      <c r="F453">
        <v>4471</v>
      </c>
      <c r="G453">
        <v>317</v>
      </c>
      <c r="H453">
        <v>249</v>
      </c>
      <c r="I453">
        <v>44862</v>
      </c>
      <c r="J453">
        <v>33365</v>
      </c>
      <c r="K453">
        <v>184</v>
      </c>
      <c r="L453">
        <v>0.1122776514644911</v>
      </c>
      <c r="M453">
        <v>77</v>
      </c>
      <c r="N453" t="s">
        <v>377</v>
      </c>
      <c r="O453">
        <f t="shared" si="7"/>
        <v>5037</v>
      </c>
    </row>
    <row r="454" spans="1:15">
      <c r="A454" t="s">
        <v>321</v>
      </c>
      <c r="B454" t="s">
        <v>14</v>
      </c>
      <c r="C454" s="27">
        <v>45298</v>
      </c>
      <c r="D454" t="s">
        <v>15</v>
      </c>
      <c r="E454" t="s">
        <v>41</v>
      </c>
      <c r="F454">
        <v>4931</v>
      </c>
      <c r="G454">
        <v>469</v>
      </c>
      <c r="H454">
        <v>193</v>
      </c>
      <c r="I454">
        <v>56701</v>
      </c>
      <c r="J454">
        <v>69437</v>
      </c>
      <c r="K454">
        <v>291</v>
      </c>
      <c r="L454">
        <v>9.8640235621946709E-2</v>
      </c>
      <c r="M454">
        <v>110</v>
      </c>
      <c r="N454" t="s">
        <v>45</v>
      </c>
      <c r="O454">
        <f t="shared" si="7"/>
        <v>5593</v>
      </c>
    </row>
    <row r="455" spans="1:15">
      <c r="A455" t="s">
        <v>321</v>
      </c>
      <c r="B455" t="s">
        <v>14</v>
      </c>
      <c r="C455" s="27">
        <v>45298</v>
      </c>
      <c r="D455" t="s">
        <v>15</v>
      </c>
      <c r="E455" t="s">
        <v>41</v>
      </c>
      <c r="F455">
        <v>4931</v>
      </c>
      <c r="G455">
        <v>469</v>
      </c>
      <c r="H455">
        <v>193</v>
      </c>
      <c r="I455">
        <v>56701</v>
      </c>
      <c r="J455">
        <v>69437</v>
      </c>
      <c r="K455">
        <v>291</v>
      </c>
      <c r="L455">
        <v>9.8640235621946709E-2</v>
      </c>
      <c r="M455">
        <v>110</v>
      </c>
      <c r="N455" t="s">
        <v>42</v>
      </c>
      <c r="O455">
        <f t="shared" si="7"/>
        <v>5593</v>
      </c>
    </row>
    <row r="456" spans="1:15">
      <c r="A456" t="s">
        <v>322</v>
      </c>
      <c r="B456" t="s">
        <v>24</v>
      </c>
      <c r="C456" s="27">
        <v>45343</v>
      </c>
      <c r="D456" t="s">
        <v>25</v>
      </c>
      <c r="E456" t="s">
        <v>37</v>
      </c>
      <c r="F456">
        <v>2604</v>
      </c>
      <c r="G456">
        <v>439</v>
      </c>
      <c r="H456">
        <v>148</v>
      </c>
      <c r="I456">
        <v>58468</v>
      </c>
      <c r="J456">
        <v>39629</v>
      </c>
      <c r="K456">
        <v>163</v>
      </c>
      <c r="L456">
        <v>5.4576862557296296E-2</v>
      </c>
      <c r="M456">
        <v>239</v>
      </c>
      <c r="N456" t="s">
        <v>377</v>
      </c>
      <c r="O456">
        <f t="shared" si="7"/>
        <v>3191</v>
      </c>
    </row>
    <row r="457" spans="1:15">
      <c r="A457" t="s">
        <v>322</v>
      </c>
      <c r="B457" t="s">
        <v>24</v>
      </c>
      <c r="C457" s="27">
        <v>45343</v>
      </c>
      <c r="D457" t="s">
        <v>25</v>
      </c>
      <c r="E457" t="s">
        <v>37</v>
      </c>
      <c r="F457">
        <v>2604</v>
      </c>
      <c r="G457">
        <v>439</v>
      </c>
      <c r="H457">
        <v>148</v>
      </c>
      <c r="I457">
        <v>58468</v>
      </c>
      <c r="J457">
        <v>39629</v>
      </c>
      <c r="K457">
        <v>163</v>
      </c>
      <c r="L457">
        <v>5.4576862557296296E-2</v>
      </c>
      <c r="M457">
        <v>239</v>
      </c>
      <c r="N457" t="s">
        <v>42</v>
      </c>
      <c r="O457">
        <f t="shared" si="7"/>
        <v>3191</v>
      </c>
    </row>
    <row r="458" spans="1:15">
      <c r="A458" t="s">
        <v>323</v>
      </c>
      <c r="B458" t="s">
        <v>14</v>
      </c>
      <c r="C458" s="27">
        <v>45531</v>
      </c>
      <c r="D458" t="s">
        <v>15</v>
      </c>
      <c r="E458" t="s">
        <v>375</v>
      </c>
      <c r="F458">
        <v>4197</v>
      </c>
      <c r="G458">
        <v>359</v>
      </c>
      <c r="H458">
        <v>280</v>
      </c>
      <c r="I458">
        <v>56048</v>
      </c>
      <c r="J458">
        <v>70930</v>
      </c>
      <c r="K458">
        <v>295</v>
      </c>
      <c r="L458">
        <v>8.628318584070796E-2</v>
      </c>
      <c r="M458">
        <v>151</v>
      </c>
      <c r="N458" t="s">
        <v>21</v>
      </c>
      <c r="O458">
        <f t="shared" si="7"/>
        <v>4836</v>
      </c>
    </row>
    <row r="459" spans="1:15">
      <c r="A459" t="s">
        <v>324</v>
      </c>
      <c r="B459" t="s">
        <v>14</v>
      </c>
      <c r="C459" s="27">
        <v>45589</v>
      </c>
      <c r="D459" t="s">
        <v>25</v>
      </c>
      <c r="E459" t="s">
        <v>41</v>
      </c>
      <c r="F459">
        <v>1914</v>
      </c>
      <c r="G459">
        <v>255</v>
      </c>
      <c r="H459">
        <v>156</v>
      </c>
      <c r="I459">
        <v>27660</v>
      </c>
      <c r="J459">
        <v>47776</v>
      </c>
      <c r="K459">
        <v>111</v>
      </c>
      <c r="L459">
        <v>8.4056399132321047E-2</v>
      </c>
      <c r="M459">
        <v>160</v>
      </c>
      <c r="N459" t="s">
        <v>42</v>
      </c>
      <c r="O459">
        <f t="shared" si="7"/>
        <v>2325</v>
      </c>
    </row>
    <row r="460" spans="1:15">
      <c r="A460" t="s">
        <v>325</v>
      </c>
      <c r="B460" t="s">
        <v>31</v>
      </c>
      <c r="C460" s="27">
        <v>45686</v>
      </c>
      <c r="D460" t="s">
        <v>15</v>
      </c>
      <c r="E460" t="s">
        <v>26</v>
      </c>
      <c r="F460">
        <v>1334</v>
      </c>
      <c r="G460">
        <v>357</v>
      </c>
      <c r="H460">
        <v>257</v>
      </c>
      <c r="I460">
        <v>56910</v>
      </c>
      <c r="J460">
        <v>70606</v>
      </c>
      <c r="K460">
        <v>228</v>
      </c>
      <c r="L460">
        <v>3.4229485151994379E-2</v>
      </c>
      <c r="M460">
        <v>290</v>
      </c>
      <c r="N460" t="s">
        <v>21</v>
      </c>
      <c r="O460">
        <f t="shared" si="7"/>
        <v>1948</v>
      </c>
    </row>
    <row r="461" spans="1:15">
      <c r="A461" t="s">
        <v>325</v>
      </c>
      <c r="B461" t="s">
        <v>31</v>
      </c>
      <c r="C461" s="27">
        <v>45686</v>
      </c>
      <c r="D461" t="s">
        <v>15</v>
      </c>
      <c r="E461" t="s">
        <v>26</v>
      </c>
      <c r="F461">
        <v>1334</v>
      </c>
      <c r="G461">
        <v>357</v>
      </c>
      <c r="H461">
        <v>257</v>
      </c>
      <c r="I461">
        <v>56910</v>
      </c>
      <c r="J461">
        <v>70606</v>
      </c>
      <c r="K461">
        <v>228</v>
      </c>
      <c r="L461">
        <v>3.4229485151994379E-2</v>
      </c>
      <c r="M461">
        <v>290</v>
      </c>
      <c r="N461" t="s">
        <v>378</v>
      </c>
      <c r="O461">
        <f t="shared" si="7"/>
        <v>1948</v>
      </c>
    </row>
    <row r="462" spans="1:15">
      <c r="A462" t="s">
        <v>326</v>
      </c>
      <c r="B462" t="s">
        <v>14</v>
      </c>
      <c r="C462" s="27">
        <v>45413</v>
      </c>
      <c r="D462" t="s">
        <v>15</v>
      </c>
      <c r="E462" t="s">
        <v>37</v>
      </c>
      <c r="F462">
        <v>3359</v>
      </c>
      <c r="G462">
        <v>137</v>
      </c>
      <c r="H462">
        <v>387</v>
      </c>
      <c r="I462">
        <v>33861</v>
      </c>
      <c r="J462">
        <v>47257</v>
      </c>
      <c r="K462">
        <v>198</v>
      </c>
      <c r="L462">
        <v>0.11467469950680724</v>
      </c>
      <c r="M462">
        <v>72</v>
      </c>
      <c r="N462" t="s">
        <v>21</v>
      </c>
      <c r="O462">
        <f t="shared" si="7"/>
        <v>3883</v>
      </c>
    </row>
    <row r="463" spans="1:15">
      <c r="A463" t="s">
        <v>327</v>
      </c>
      <c r="B463" t="s">
        <v>31</v>
      </c>
      <c r="C463" s="27">
        <v>45468</v>
      </c>
      <c r="D463" t="s">
        <v>15</v>
      </c>
      <c r="E463" t="s">
        <v>51</v>
      </c>
      <c r="F463">
        <v>2172</v>
      </c>
      <c r="G463">
        <v>338</v>
      </c>
      <c r="H463">
        <v>70</v>
      </c>
      <c r="I463">
        <v>30515</v>
      </c>
      <c r="J463">
        <v>57853</v>
      </c>
      <c r="K463">
        <v>156</v>
      </c>
      <c r="L463">
        <v>8.4548582664263475E-2</v>
      </c>
      <c r="M463">
        <v>156</v>
      </c>
      <c r="N463" t="s">
        <v>21</v>
      </c>
      <c r="O463">
        <f t="shared" si="7"/>
        <v>2580</v>
      </c>
    </row>
    <row r="464" spans="1:15">
      <c r="A464" t="s">
        <v>327</v>
      </c>
      <c r="B464" t="s">
        <v>31</v>
      </c>
      <c r="C464" s="27">
        <v>45468</v>
      </c>
      <c r="D464" t="s">
        <v>15</v>
      </c>
      <c r="E464" t="s">
        <v>51</v>
      </c>
      <c r="F464">
        <v>2172</v>
      </c>
      <c r="G464">
        <v>338</v>
      </c>
      <c r="H464">
        <v>70</v>
      </c>
      <c r="I464">
        <v>30515</v>
      </c>
      <c r="J464">
        <v>57853</v>
      </c>
      <c r="K464">
        <v>156</v>
      </c>
      <c r="L464">
        <v>8.4548582664263475E-2</v>
      </c>
      <c r="M464">
        <v>156</v>
      </c>
      <c r="N464" t="s">
        <v>378</v>
      </c>
      <c r="O464">
        <f t="shared" si="7"/>
        <v>2580</v>
      </c>
    </row>
    <row r="465" spans="1:15">
      <c r="A465" t="s">
        <v>328</v>
      </c>
      <c r="B465" t="s">
        <v>24</v>
      </c>
      <c r="C465" s="27">
        <v>45513</v>
      </c>
      <c r="D465" t="s">
        <v>25</v>
      </c>
      <c r="E465" t="s">
        <v>374</v>
      </c>
      <c r="F465">
        <v>4877</v>
      </c>
      <c r="G465">
        <v>442</v>
      </c>
      <c r="H465">
        <v>236</v>
      </c>
      <c r="I465">
        <v>52673</v>
      </c>
      <c r="J465">
        <v>48241</v>
      </c>
      <c r="K465">
        <v>114</v>
      </c>
      <c r="L465">
        <v>0.10546200140489435</v>
      </c>
      <c r="M465">
        <v>98</v>
      </c>
      <c r="N465" t="s">
        <v>21</v>
      </c>
      <c r="O465">
        <f t="shared" si="7"/>
        <v>5555</v>
      </c>
    </row>
    <row r="466" spans="1:15">
      <c r="A466" t="s">
        <v>328</v>
      </c>
      <c r="B466" t="s">
        <v>24</v>
      </c>
      <c r="C466" s="27">
        <v>45513</v>
      </c>
      <c r="D466" t="s">
        <v>25</v>
      </c>
      <c r="E466" t="s">
        <v>374</v>
      </c>
      <c r="F466">
        <v>4877</v>
      </c>
      <c r="G466">
        <v>442</v>
      </c>
      <c r="H466">
        <v>236</v>
      </c>
      <c r="I466">
        <v>52673</v>
      </c>
      <c r="J466">
        <v>48241</v>
      </c>
      <c r="K466">
        <v>114</v>
      </c>
      <c r="L466">
        <v>0.10546200140489435</v>
      </c>
      <c r="M466">
        <v>98</v>
      </c>
      <c r="N466" t="s">
        <v>377</v>
      </c>
      <c r="O466">
        <f t="shared" si="7"/>
        <v>5555</v>
      </c>
    </row>
    <row r="467" spans="1:15">
      <c r="A467" t="s">
        <v>329</v>
      </c>
      <c r="B467" t="s">
        <v>14</v>
      </c>
      <c r="C467" s="27">
        <v>45678</v>
      </c>
      <c r="D467" t="s">
        <v>25</v>
      </c>
      <c r="E467" t="s">
        <v>26</v>
      </c>
      <c r="F467">
        <v>4918</v>
      </c>
      <c r="G467">
        <v>440</v>
      </c>
      <c r="H467">
        <v>149</v>
      </c>
      <c r="I467">
        <v>53269</v>
      </c>
      <c r="J467">
        <v>64370</v>
      </c>
      <c r="K467">
        <v>269</v>
      </c>
      <c r="L467">
        <v>0.10338095327488783</v>
      </c>
      <c r="M467">
        <v>102</v>
      </c>
      <c r="N467" t="s">
        <v>42</v>
      </c>
      <c r="O467">
        <f t="shared" si="7"/>
        <v>5507</v>
      </c>
    </row>
    <row r="468" spans="1:15">
      <c r="A468" t="s">
        <v>330</v>
      </c>
      <c r="B468" t="s">
        <v>24</v>
      </c>
      <c r="C468" s="27">
        <v>45517</v>
      </c>
      <c r="D468" t="s">
        <v>15</v>
      </c>
      <c r="E468" t="s">
        <v>20</v>
      </c>
      <c r="F468">
        <v>3418</v>
      </c>
      <c r="G468">
        <v>107</v>
      </c>
      <c r="H468">
        <v>221</v>
      </c>
      <c r="I468">
        <v>23927</v>
      </c>
      <c r="J468">
        <v>26182</v>
      </c>
      <c r="K468">
        <v>155</v>
      </c>
      <c r="L468">
        <v>0.1565595352530614</v>
      </c>
      <c r="M468">
        <v>31</v>
      </c>
      <c r="N468" t="s">
        <v>45</v>
      </c>
      <c r="O468">
        <f t="shared" si="7"/>
        <v>3746</v>
      </c>
    </row>
    <row r="469" spans="1:15">
      <c r="A469" t="s">
        <v>331</v>
      </c>
      <c r="B469" t="s">
        <v>14</v>
      </c>
      <c r="C469" s="27">
        <v>45472</v>
      </c>
      <c r="D469" t="s">
        <v>15</v>
      </c>
      <c r="E469" t="s">
        <v>51</v>
      </c>
      <c r="F469">
        <v>2088</v>
      </c>
      <c r="G469">
        <v>490</v>
      </c>
      <c r="H469">
        <v>124</v>
      </c>
      <c r="I469">
        <v>46544</v>
      </c>
      <c r="J469">
        <v>69346</v>
      </c>
      <c r="K469">
        <v>178</v>
      </c>
      <c r="L469">
        <v>5.8052595393606049E-2</v>
      </c>
      <c r="M469">
        <v>229</v>
      </c>
      <c r="N469" t="s">
        <v>45</v>
      </c>
      <c r="O469">
        <f t="shared" si="7"/>
        <v>2702</v>
      </c>
    </row>
    <row r="470" spans="1:15">
      <c r="A470" t="s">
        <v>331</v>
      </c>
      <c r="B470" t="s">
        <v>14</v>
      </c>
      <c r="C470" s="27">
        <v>45472</v>
      </c>
      <c r="D470" t="s">
        <v>15</v>
      </c>
      <c r="E470" t="s">
        <v>51</v>
      </c>
      <c r="F470">
        <v>2088</v>
      </c>
      <c r="G470">
        <v>490</v>
      </c>
      <c r="H470">
        <v>124</v>
      </c>
      <c r="I470">
        <v>46544</v>
      </c>
      <c r="J470">
        <v>69346</v>
      </c>
      <c r="K470">
        <v>178</v>
      </c>
      <c r="L470">
        <v>5.8052595393606049E-2</v>
      </c>
      <c r="M470">
        <v>229</v>
      </c>
      <c r="N470" t="s">
        <v>42</v>
      </c>
      <c r="O470">
        <f t="shared" si="7"/>
        <v>2702</v>
      </c>
    </row>
    <row r="471" spans="1:15">
      <c r="A471" t="s">
        <v>332</v>
      </c>
      <c r="B471" t="s">
        <v>24</v>
      </c>
      <c r="C471" s="27">
        <v>45599</v>
      </c>
      <c r="D471" t="s">
        <v>25</v>
      </c>
      <c r="E471" t="s">
        <v>20</v>
      </c>
      <c r="F471">
        <v>3061</v>
      </c>
      <c r="G471">
        <v>320</v>
      </c>
      <c r="H471">
        <v>76</v>
      </c>
      <c r="I471">
        <v>26640</v>
      </c>
      <c r="J471">
        <v>24306</v>
      </c>
      <c r="K471">
        <v>112</v>
      </c>
      <c r="L471">
        <v>0.12976726726726726</v>
      </c>
      <c r="M471">
        <v>57</v>
      </c>
      <c r="N471" t="s">
        <v>377</v>
      </c>
      <c r="O471">
        <f t="shared" si="7"/>
        <v>3457</v>
      </c>
    </row>
    <row r="472" spans="1:15">
      <c r="A472" t="s">
        <v>332</v>
      </c>
      <c r="B472" t="s">
        <v>24</v>
      </c>
      <c r="C472" s="27">
        <v>45599</v>
      </c>
      <c r="D472" t="s">
        <v>25</v>
      </c>
      <c r="E472" t="s">
        <v>20</v>
      </c>
      <c r="F472">
        <v>3061</v>
      </c>
      <c r="G472">
        <v>320</v>
      </c>
      <c r="H472">
        <v>76</v>
      </c>
      <c r="I472">
        <v>26640</v>
      </c>
      <c r="J472">
        <v>24306</v>
      </c>
      <c r="K472">
        <v>112</v>
      </c>
      <c r="L472">
        <v>0.12976726726726726</v>
      </c>
      <c r="M472">
        <v>57</v>
      </c>
      <c r="N472" t="s">
        <v>42</v>
      </c>
      <c r="O472">
        <f t="shared" si="7"/>
        <v>3457</v>
      </c>
    </row>
    <row r="473" spans="1:15">
      <c r="A473" t="s">
        <v>333</v>
      </c>
      <c r="B473" t="s">
        <v>31</v>
      </c>
      <c r="C473" s="27">
        <v>45765</v>
      </c>
      <c r="D473" t="s">
        <v>57</v>
      </c>
      <c r="E473" t="s">
        <v>51</v>
      </c>
      <c r="F473">
        <v>1265</v>
      </c>
      <c r="G473">
        <v>230</v>
      </c>
      <c r="H473">
        <v>364</v>
      </c>
      <c r="I473">
        <v>41312</v>
      </c>
      <c r="J473">
        <v>50382</v>
      </c>
      <c r="K473">
        <v>106</v>
      </c>
      <c r="L473">
        <v>4.4999031758326875E-2</v>
      </c>
      <c r="M473">
        <v>266</v>
      </c>
      <c r="N473" t="s">
        <v>21</v>
      </c>
      <c r="O473">
        <f t="shared" si="7"/>
        <v>1859</v>
      </c>
    </row>
    <row r="474" spans="1:15">
      <c r="A474" t="s">
        <v>333</v>
      </c>
      <c r="B474" t="s">
        <v>31</v>
      </c>
      <c r="C474" s="27">
        <v>45765</v>
      </c>
      <c r="D474" t="s">
        <v>57</v>
      </c>
      <c r="E474" t="s">
        <v>51</v>
      </c>
      <c r="F474">
        <v>1265</v>
      </c>
      <c r="G474">
        <v>230</v>
      </c>
      <c r="H474">
        <v>364</v>
      </c>
      <c r="I474">
        <v>41312</v>
      </c>
      <c r="J474">
        <v>50382</v>
      </c>
      <c r="K474">
        <v>106</v>
      </c>
      <c r="L474">
        <v>4.4999031758326875E-2</v>
      </c>
      <c r="M474">
        <v>266</v>
      </c>
      <c r="N474" t="s">
        <v>45</v>
      </c>
      <c r="O474">
        <f t="shared" si="7"/>
        <v>1859</v>
      </c>
    </row>
    <row r="475" spans="1:15">
      <c r="A475" t="s">
        <v>334</v>
      </c>
      <c r="B475" t="s">
        <v>14</v>
      </c>
      <c r="C475" s="27">
        <v>45653</v>
      </c>
      <c r="D475" t="s">
        <v>15</v>
      </c>
      <c r="E475" t="s">
        <v>374</v>
      </c>
      <c r="F475">
        <v>1436</v>
      </c>
      <c r="G475">
        <v>219</v>
      </c>
      <c r="H475">
        <v>229</v>
      </c>
      <c r="I475">
        <v>58488</v>
      </c>
      <c r="J475">
        <v>24314</v>
      </c>
      <c r="K475">
        <v>147</v>
      </c>
      <c r="L475">
        <v>3.221173574066475E-2</v>
      </c>
      <c r="M475">
        <v>294</v>
      </c>
      <c r="N475" t="s">
        <v>21</v>
      </c>
      <c r="O475">
        <f t="shared" si="7"/>
        <v>1884</v>
      </c>
    </row>
    <row r="476" spans="1:15">
      <c r="A476" t="s">
        <v>335</v>
      </c>
      <c r="B476" t="s">
        <v>14</v>
      </c>
      <c r="C476" s="27">
        <v>45724</v>
      </c>
      <c r="D476" t="s">
        <v>25</v>
      </c>
      <c r="E476" t="s">
        <v>41</v>
      </c>
      <c r="F476">
        <v>2244</v>
      </c>
      <c r="G476">
        <v>392</v>
      </c>
      <c r="H476">
        <v>231</v>
      </c>
      <c r="I476">
        <v>25834</v>
      </c>
      <c r="J476">
        <v>50906</v>
      </c>
      <c r="K476">
        <v>165</v>
      </c>
      <c r="L476">
        <v>0.1109777812185492</v>
      </c>
      <c r="M476">
        <v>80</v>
      </c>
      <c r="N476" t="s">
        <v>42</v>
      </c>
      <c r="O476">
        <f t="shared" si="7"/>
        <v>2867</v>
      </c>
    </row>
    <row r="477" spans="1:15">
      <c r="A477" t="s">
        <v>336</v>
      </c>
      <c r="B477" t="s">
        <v>24</v>
      </c>
      <c r="C477" s="27">
        <v>45736</v>
      </c>
      <c r="D477" t="s">
        <v>25</v>
      </c>
      <c r="E477" t="s">
        <v>51</v>
      </c>
      <c r="F477">
        <v>3393</v>
      </c>
      <c r="G477">
        <v>104</v>
      </c>
      <c r="H477">
        <v>79</v>
      </c>
      <c r="I477">
        <v>30025</v>
      </c>
      <c r="J477">
        <v>21593</v>
      </c>
      <c r="K477">
        <v>165</v>
      </c>
      <c r="L477">
        <v>0.1191007493755204</v>
      </c>
      <c r="M477">
        <v>65</v>
      </c>
      <c r="N477" t="s">
        <v>377</v>
      </c>
      <c r="O477">
        <f t="shared" si="7"/>
        <v>3576</v>
      </c>
    </row>
    <row r="478" spans="1:15">
      <c r="A478" t="s">
        <v>336</v>
      </c>
      <c r="B478" t="s">
        <v>24</v>
      </c>
      <c r="C478" s="27">
        <v>45736</v>
      </c>
      <c r="D478" t="s">
        <v>25</v>
      </c>
      <c r="E478" t="s">
        <v>51</v>
      </c>
      <c r="F478">
        <v>3393</v>
      </c>
      <c r="G478">
        <v>104</v>
      </c>
      <c r="H478">
        <v>79</v>
      </c>
      <c r="I478">
        <v>30025</v>
      </c>
      <c r="J478">
        <v>21593</v>
      </c>
      <c r="K478">
        <v>165</v>
      </c>
      <c r="L478">
        <v>0.1191007493755204</v>
      </c>
      <c r="M478">
        <v>65</v>
      </c>
      <c r="N478" t="s">
        <v>42</v>
      </c>
      <c r="O478">
        <f t="shared" si="7"/>
        <v>3576</v>
      </c>
    </row>
    <row r="479" spans="1:15">
      <c r="A479" t="s">
        <v>337</v>
      </c>
      <c r="B479" t="s">
        <v>24</v>
      </c>
      <c r="C479" s="27">
        <v>45612</v>
      </c>
      <c r="D479" t="s">
        <v>15</v>
      </c>
      <c r="E479" t="s">
        <v>20</v>
      </c>
      <c r="F479">
        <v>2901</v>
      </c>
      <c r="G479">
        <v>108</v>
      </c>
      <c r="H479">
        <v>86</v>
      </c>
      <c r="I479">
        <v>51777</v>
      </c>
      <c r="J479">
        <v>23773</v>
      </c>
      <c r="K479">
        <v>160</v>
      </c>
      <c r="L479">
        <v>5.9775576027966085E-2</v>
      </c>
      <c r="M479">
        <v>224</v>
      </c>
      <c r="N479" t="s">
        <v>45</v>
      </c>
      <c r="O479">
        <f t="shared" si="7"/>
        <v>3095</v>
      </c>
    </row>
    <row r="480" spans="1:15">
      <c r="A480" t="s">
        <v>338</v>
      </c>
      <c r="B480" t="s">
        <v>24</v>
      </c>
      <c r="C480" s="27">
        <v>45838</v>
      </c>
      <c r="D480" t="s">
        <v>15</v>
      </c>
      <c r="E480" t="s">
        <v>373</v>
      </c>
      <c r="F480">
        <v>2275</v>
      </c>
      <c r="G480">
        <v>285</v>
      </c>
      <c r="H480">
        <v>125</v>
      </c>
      <c r="I480">
        <v>43970</v>
      </c>
      <c r="J480">
        <v>74761</v>
      </c>
      <c r="K480">
        <v>83</v>
      </c>
      <c r="L480">
        <v>6.1064362065044349E-2</v>
      </c>
      <c r="M480">
        <v>221</v>
      </c>
      <c r="N480" t="s">
        <v>42</v>
      </c>
      <c r="O480">
        <f t="shared" si="7"/>
        <v>2685</v>
      </c>
    </row>
    <row r="481" spans="1:15">
      <c r="A481" t="s">
        <v>339</v>
      </c>
      <c r="B481" t="s">
        <v>24</v>
      </c>
      <c r="C481" s="27">
        <v>45303</v>
      </c>
      <c r="D481" t="s">
        <v>25</v>
      </c>
      <c r="E481" t="s">
        <v>376</v>
      </c>
      <c r="F481">
        <v>2227</v>
      </c>
      <c r="G481">
        <v>494</v>
      </c>
      <c r="H481">
        <v>161</v>
      </c>
      <c r="I481">
        <v>51651</v>
      </c>
      <c r="J481">
        <v>68074</v>
      </c>
      <c r="K481">
        <v>240</v>
      </c>
      <c r="L481">
        <v>5.5797564422760453E-2</v>
      </c>
      <c r="M481">
        <v>235</v>
      </c>
      <c r="N481" t="s">
        <v>21</v>
      </c>
      <c r="O481">
        <f t="shared" si="7"/>
        <v>2882</v>
      </c>
    </row>
    <row r="482" spans="1:15">
      <c r="A482" t="s">
        <v>339</v>
      </c>
      <c r="B482" t="s">
        <v>24</v>
      </c>
      <c r="C482" s="27">
        <v>45303</v>
      </c>
      <c r="D482" t="s">
        <v>25</v>
      </c>
      <c r="E482" t="s">
        <v>376</v>
      </c>
      <c r="F482">
        <v>2227</v>
      </c>
      <c r="G482">
        <v>494</v>
      </c>
      <c r="H482">
        <v>161</v>
      </c>
      <c r="I482">
        <v>51651</v>
      </c>
      <c r="J482">
        <v>68074</v>
      </c>
      <c r="K482">
        <v>240</v>
      </c>
      <c r="L482">
        <v>5.5797564422760453E-2</v>
      </c>
      <c r="M482">
        <v>235</v>
      </c>
      <c r="N482" t="s">
        <v>377</v>
      </c>
      <c r="O482">
        <f t="shared" si="7"/>
        <v>2882</v>
      </c>
    </row>
    <row r="483" spans="1:15">
      <c r="A483" t="s">
        <v>340</v>
      </c>
      <c r="B483" t="s">
        <v>14</v>
      </c>
      <c r="C483" s="27">
        <v>45329</v>
      </c>
      <c r="D483" t="s">
        <v>15</v>
      </c>
      <c r="E483" t="s">
        <v>375</v>
      </c>
      <c r="F483">
        <v>1883</v>
      </c>
      <c r="G483">
        <v>432</v>
      </c>
      <c r="H483">
        <v>397</v>
      </c>
      <c r="I483">
        <v>28759</v>
      </c>
      <c r="J483">
        <v>18691</v>
      </c>
      <c r="K483">
        <v>270</v>
      </c>
      <c r="L483">
        <v>9.4300914496331587E-2</v>
      </c>
      <c r="M483">
        <v>123</v>
      </c>
      <c r="N483" t="s">
        <v>45</v>
      </c>
      <c r="O483">
        <f t="shared" si="7"/>
        <v>2712</v>
      </c>
    </row>
    <row r="484" spans="1:15">
      <c r="A484" t="s">
        <v>340</v>
      </c>
      <c r="B484" t="s">
        <v>14</v>
      </c>
      <c r="C484" s="27">
        <v>45329</v>
      </c>
      <c r="D484" t="s">
        <v>15</v>
      </c>
      <c r="E484" t="s">
        <v>375</v>
      </c>
      <c r="F484">
        <v>1883</v>
      </c>
      <c r="G484">
        <v>432</v>
      </c>
      <c r="H484">
        <v>397</v>
      </c>
      <c r="I484">
        <v>28759</v>
      </c>
      <c r="J484">
        <v>18691</v>
      </c>
      <c r="K484">
        <v>270</v>
      </c>
      <c r="L484">
        <v>9.4300914496331587E-2</v>
      </c>
      <c r="M484">
        <v>123</v>
      </c>
      <c r="N484" t="s">
        <v>42</v>
      </c>
      <c r="O484">
        <f t="shared" si="7"/>
        <v>2712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D1" zoomScale="75" workbookViewId="0">
      <selection activeCell="N2" sqref="N2"/>
    </sheetView>
  </sheetViews>
  <sheetFormatPr defaultColWidth="14.44140625" defaultRowHeight="15" customHeight="1"/>
  <cols>
    <col min="1" max="1" width="7.44140625" bestFit="1" customWidth="1"/>
    <col min="2" max="2" width="9.6640625" bestFit="1" customWidth="1"/>
    <col min="3" max="3" width="11.6640625" bestFit="1" customWidth="1"/>
    <col min="4" max="4" width="13.21875" bestFit="1" customWidth="1"/>
    <col min="5" max="5" width="42.33203125" bestFit="1" customWidth="1"/>
    <col min="6" max="6" width="5.6640625" bestFit="1" customWidth="1"/>
    <col min="7" max="7" width="7.33203125" bestFit="1" customWidth="1"/>
    <col min="8" max="8" width="10.44140625" bestFit="1" customWidth="1"/>
    <col min="9" max="9" width="11.5546875" bestFit="1" customWidth="1"/>
    <col min="10" max="10" width="6.77734375" bestFit="1" customWidth="1"/>
    <col min="11" max="11" width="6.33203125" bestFit="1" customWidth="1"/>
    <col min="12" max="12" width="35.44140625" bestFit="1" customWidth="1"/>
    <col min="13" max="13" width="16.44140625" bestFit="1" customWidth="1"/>
    <col min="14" max="14" width="17.21875" bestFit="1" customWidth="1"/>
    <col min="15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425</v>
      </c>
      <c r="M1" s="1" t="s">
        <v>12</v>
      </c>
    </row>
    <row r="2" spans="1:13" ht="14.4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11</v>
      </c>
      <c r="M2" s="1" t="s">
        <v>18</v>
      </c>
    </row>
    <row r="3" spans="1:13" ht="14.4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17</v>
      </c>
      <c r="M3" s="1" t="s">
        <v>22</v>
      </c>
    </row>
    <row r="4" spans="1:13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21</v>
      </c>
      <c r="M4" s="1" t="s">
        <v>18</v>
      </c>
    </row>
    <row r="5" spans="1:13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27</v>
      </c>
      <c r="M5" s="1" t="s">
        <v>18</v>
      </c>
    </row>
    <row r="6" spans="1:13" ht="14.4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17</v>
      </c>
      <c r="M6" s="1" t="s">
        <v>22</v>
      </c>
    </row>
    <row r="7" spans="1:13" ht="14.4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4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33</v>
      </c>
      <c r="M8" s="1" t="s">
        <v>18</v>
      </c>
    </row>
    <row r="9" spans="1:13" ht="14.4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17</v>
      </c>
      <c r="M9" s="1" t="s">
        <v>18</v>
      </c>
    </row>
    <row r="10" spans="1:13" ht="14.4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39</v>
      </c>
      <c r="M10" s="1" t="s">
        <v>18</v>
      </c>
    </row>
    <row r="11" spans="1:13" ht="14.4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4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42</v>
      </c>
      <c r="M12" s="1" t="s">
        <v>22</v>
      </c>
    </row>
    <row r="13" spans="1:13" ht="14.4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45</v>
      </c>
      <c r="M13" s="1" t="s">
        <v>18</v>
      </c>
    </row>
    <row r="14" spans="1:13" ht="14.4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17</v>
      </c>
      <c r="M14" s="1" t="s">
        <v>18</v>
      </c>
    </row>
    <row r="15" spans="1:13" ht="14.4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27</v>
      </c>
      <c r="M15" s="1" t="s">
        <v>18</v>
      </c>
    </row>
    <row r="16" spans="1:13" ht="14.4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4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42</v>
      </c>
      <c r="M17" s="1" t="s">
        <v>18</v>
      </c>
    </row>
    <row r="18" spans="1:13" ht="14.4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27</v>
      </c>
      <c r="M18" s="1" t="s">
        <v>18</v>
      </c>
    </row>
    <row r="19" spans="1:13" ht="14.4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4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42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58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21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42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17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58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45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58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39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17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58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27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42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17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39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17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27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21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27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42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21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42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17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42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17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21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33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21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58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42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39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42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58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39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27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21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42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21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33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58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27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45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27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33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17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58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45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39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42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45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21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58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39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17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21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42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27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58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17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45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21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17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42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17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27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45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58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21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17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42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17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21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39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42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21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42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17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39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42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17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45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58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17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21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58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17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42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21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42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39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27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21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42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39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33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17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42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27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45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17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39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33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45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42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33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42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27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42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17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39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42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27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58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42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21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17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27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21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27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39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45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27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42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21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39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21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17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58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33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39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42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58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21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17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58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42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21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33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17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33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45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42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33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21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33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39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17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45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42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45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27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45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17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45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27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58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27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58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21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58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17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58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39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58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27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33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17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33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17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42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27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17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21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42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45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39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17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45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39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17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39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42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45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33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45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17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39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45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33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27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42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45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42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33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27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33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58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33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17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33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42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33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21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33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17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27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33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42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39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33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27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17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39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58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21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42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45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33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42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39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27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39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58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17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27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45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27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33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58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39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42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33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58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39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45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42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21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42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17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39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17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27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21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42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33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21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33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39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42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45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17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27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58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21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42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27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45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42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39</v>
      </c>
      <c r="M301" s="1" t="s">
        <v>18</v>
      </c>
    </row>
    <row r="302" spans="1:13" ht="15.75" customHeight="1">
      <c r="L302" s="1" t="s">
        <v>17</v>
      </c>
    </row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199" sqref="E199"/>
    </sheetView>
  </sheetViews>
  <sheetFormatPr defaultColWidth="14.44140625" defaultRowHeight="15" customHeight="1"/>
  <cols>
    <col min="1" max="2" width="23.88671875" customWidth="1"/>
    <col min="3" max="3" width="14.77734375" bestFit="1" customWidth="1"/>
    <col min="4" max="4" width="9.6640625" bestFit="1" customWidth="1"/>
    <col min="5" max="5" width="15.33203125" bestFit="1" customWidth="1"/>
    <col min="6" max="6" width="17.77734375" bestFit="1" customWidth="1"/>
    <col min="7" max="7" width="10.21875" bestFit="1" customWidth="1"/>
    <col min="8" max="26" width="8.6640625" customWidth="1"/>
  </cols>
  <sheetData>
    <row r="1" spans="1:7" ht="14.4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ht="14.4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 ht="14.4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 ht="14.4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 ht="14.4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 ht="14.4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 ht="14.4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 ht="14.4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 ht="14.4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 ht="14.4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 ht="14.4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 ht="14.4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 ht="14.4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 ht="14.4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 ht="14.4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 ht="14.4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 ht="14.4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 ht="14.4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 ht="14.4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 ht="14.4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14" sqref="D14"/>
    </sheetView>
  </sheetViews>
  <sheetFormatPr defaultColWidth="14.44140625" defaultRowHeight="15" customHeight="1"/>
  <cols>
    <col min="1" max="1" width="15.5546875" bestFit="1" customWidth="1"/>
    <col min="2" max="3" width="10.33203125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  <col min="8" max="26" width="8.6640625" customWidth="1"/>
  </cols>
  <sheetData>
    <row r="1" spans="1:7" ht="14.4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 ht="14.4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 ht="14.4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 ht="14.4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 ht="14.4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FA3B-009D-438F-A3E7-D12A788F14E4}">
  <dimension ref="A1:AB301"/>
  <sheetViews>
    <sheetView topLeftCell="F1" zoomScale="60" workbookViewId="0">
      <selection activeCell="R20" sqref="R20"/>
    </sheetView>
  </sheetViews>
  <sheetFormatPr defaultRowHeight="14.4"/>
  <cols>
    <col min="1" max="1" width="10.21875" customWidth="1"/>
    <col min="2" max="2" width="11.5546875" customWidth="1"/>
    <col min="3" max="3" width="12" style="47" bestFit="1" customWidth="1"/>
    <col min="4" max="4" width="16.77734375" customWidth="1"/>
    <col min="5" max="5" width="42.33203125" bestFit="1" customWidth="1"/>
    <col min="6" max="6" width="8.44140625" bestFit="1" customWidth="1"/>
    <col min="7" max="7" width="10.21875" customWidth="1"/>
    <col min="8" max="8" width="13.88671875" bestFit="1" customWidth="1"/>
    <col min="9" max="9" width="15.6640625" customWidth="1"/>
    <col min="10" max="10" width="9.44140625" customWidth="1"/>
    <col min="11" max="11" width="9.21875" customWidth="1"/>
    <col min="12" max="12" width="35.44140625" bestFit="1" customWidth="1"/>
    <col min="13" max="13" width="19" bestFit="1" customWidth="1"/>
    <col min="14" max="14" width="22.5546875" style="13" bestFit="1" customWidth="1"/>
    <col min="15" max="15" width="7.33203125" bestFit="1" customWidth="1"/>
    <col min="16" max="16" width="23.88671875" bestFit="1" customWidth="1"/>
    <col min="17" max="17" width="21.77734375" bestFit="1" customWidth="1"/>
    <col min="18" max="18" width="22.77734375" bestFit="1" customWidth="1"/>
    <col min="19" max="19" width="12.109375" customWidth="1"/>
    <col min="22" max="22" width="11.33203125" customWidth="1"/>
    <col min="24" max="25" width="11.109375" style="47" bestFit="1" customWidth="1"/>
    <col min="26" max="26" width="10.77734375" customWidth="1"/>
    <col min="28" max="28" width="10.88671875" customWidth="1"/>
  </cols>
  <sheetData>
    <row r="1" spans="1:28">
      <c r="A1" s="20" t="s">
        <v>0</v>
      </c>
      <c r="B1" s="20" t="s">
        <v>1</v>
      </c>
      <c r="C1" s="45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379</v>
      </c>
      <c r="M1" s="20" t="s">
        <v>380</v>
      </c>
      <c r="N1" s="19" t="s">
        <v>345</v>
      </c>
      <c r="O1" s="17" t="s">
        <v>413</v>
      </c>
      <c r="P1" s="20" t="s">
        <v>456</v>
      </c>
      <c r="Q1" s="20" t="s">
        <v>12</v>
      </c>
      <c r="R1" s="20" t="s">
        <v>484</v>
      </c>
      <c r="S1" s="20" t="s">
        <v>559</v>
      </c>
      <c r="X1" s="51" t="s">
        <v>557</v>
      </c>
      <c r="Y1" s="51" t="s">
        <v>558</v>
      </c>
      <c r="Z1" s="50" t="s">
        <v>386</v>
      </c>
      <c r="AA1" s="50" t="s">
        <v>483</v>
      </c>
      <c r="AB1" s="50" t="s">
        <v>560</v>
      </c>
    </row>
    <row r="2" spans="1:28">
      <c r="A2" s="1" t="s">
        <v>13</v>
      </c>
      <c r="B2" s="1" t="s">
        <v>14</v>
      </c>
      <c r="C2" s="46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45</v>
      </c>
      <c r="M2" s="1" t="s">
        <v>42</v>
      </c>
      <c r="N2" s="13">
        <f>(F2+G2+H2)/I2</f>
        <v>0.13200509890939993</v>
      </c>
      <c r="O2">
        <f t="shared" ref="O2:O65" si="0">RANK(N2,$N:$N,0)</f>
        <v>53</v>
      </c>
      <c r="P2">
        <f t="shared" ref="P2:P65" si="1">F2+G2+H2</f>
        <v>2796</v>
      </c>
      <c r="Q2" t="str">
        <f>IF(AND(--$C2&gt;=--Campaign_Metadata_clean!$B$2,--$C2&lt;=--Campaign_Metadata_clean!$C$2),"SummerBeats",
IF(AND(--$C2&gt;=--Campaign_Metadata_clean!$B$3,--$C2&lt;=--Campaign_Metadata_clean!$C$3),"Wrapped2024",
IF(AND(--$C2&gt;=--Campaign_Metadata_clean!$B$4,--$C2&lt;=--Campaign_Metadata_clean!$C$4),"ChillVibes",
IF(AND(--$C2&gt;=--Campaign_Metadata_clean!$B$5,--$C2&lt;=--Campaign_Metadata_clean!$C$5),"IndieWave","No Campaign"))))</f>
        <v>No Campaign</v>
      </c>
      <c r="R2" t="str">
        <f t="shared" ref="R2:R65" si="2">IF(AND(C2&gt;=DATE(2025,1,10), C2&lt;=DATE(2025,2,10)),
"During",
IF(C2&lt;DATE(2025,1,10),
"Before",
"Other"))</f>
        <v>Other</v>
      </c>
      <c r="S2" t="str">
        <f t="shared" ref="S2:S65" si="3">IF(OR(X2="",Y2=""),"",
IF(AND(C2&gt;=X2-30,C2&lt;X2),"Before",
IF(AND(C2&gt;=X2,C2&lt;=Y2),"During","Other")))</f>
        <v/>
      </c>
      <c r="X2" s="47" t="str">
        <f>IFERROR(
_xlfn.XLOOKUP(Q2,
Campaign_Metadata_clean!A:A,
Campaign_Metadata_clean!B:B),
"")</f>
        <v/>
      </c>
      <c r="Y2" s="47" t="str">
        <f>IFERROR(
_xlfn.XLOOKUP(Q2,
Campaign_Metadata_clean!A:A,
Campaign_Metadata_clean!C:C),
"")</f>
        <v/>
      </c>
      <c r="Z2">
        <f>IFERROR(
AVERAGEIFS(N:N,
C:C, "&gt;=" &amp; X2-30,
C:C, "&lt;" &amp; X2),
0)</f>
        <v>0</v>
      </c>
      <c r="AA2">
        <f>IFERROR(
AVERAGEIFS(N:N,
C:C, "&gt;=" &amp; X2,
C:C, "&lt;=" &amp; Y2),
0)</f>
        <v>0</v>
      </c>
      <c r="AB2">
        <f>IF(AA2=0,0,(AB2-AA2)/AA2)</f>
        <v>0</v>
      </c>
    </row>
    <row r="3" spans="1:28">
      <c r="A3" s="1" t="s">
        <v>19</v>
      </c>
      <c r="B3" s="1" t="s">
        <v>14</v>
      </c>
      <c r="C3" s="46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/>
      <c r="N3" s="13">
        <f t="shared" ref="N3:N66" si="4">(F3+G3+H3)/I3</f>
        <v>8.7095334546328396E-2</v>
      </c>
      <c r="O3">
        <f t="shared" si="0"/>
        <v>145</v>
      </c>
      <c r="P3">
        <f t="shared" si="1"/>
        <v>2537</v>
      </c>
      <c r="Q3" t="str">
        <f>IF(AND(--$C3&gt;=--Campaign_Metadata_clean!$B$2,--$C3&lt;=--Campaign_Metadata_clean!$C$2),"SummerBeats",
IF(AND(--$C3&gt;=--Campaign_Metadata_clean!$B$3,--$C3&lt;=--Campaign_Metadata_clean!$C$3),"Wrapped2024",
IF(AND(--$C3&gt;=--Campaign_Metadata_clean!$B$4,--$C3&lt;=--Campaign_Metadata_clean!$C$4),"ChillVibes",
IF(AND(--$C3&gt;=--Campaign_Metadata_clean!$B$5,--$C3&lt;=--Campaign_Metadata_clean!$C$5),"IndieWave","No Campaign"))))</f>
        <v>ChillVibes</v>
      </c>
      <c r="R3" t="str">
        <f t="shared" si="2"/>
        <v>During</v>
      </c>
      <c r="S3" t="str">
        <f t="shared" si="3"/>
        <v>During</v>
      </c>
      <c r="X3" s="47">
        <f>IFERROR(
_xlfn.XLOOKUP(Q3,
Campaign_Metadata_clean!A:A,
Campaign_Metadata_clean!B:B),
"")</f>
        <v>45667</v>
      </c>
      <c r="Y3" s="47">
        <f>IFERROR(
_xlfn.XLOOKUP(Q3,
Campaign_Metadata_clean!A:A,
Campaign_Metadata_clean!C:C),
"")</f>
        <v>45698</v>
      </c>
      <c r="Z3">
        <f t="shared" ref="Z3:Z66" si="5">IFERROR(
AVERAGEIFS(N:N,
C:C, "&gt;=" &amp; X3-30,
C:C, "&lt;" &amp; X3),
0)</f>
        <v>0.10086311618757582</v>
      </c>
      <c r="AA3">
        <f t="shared" ref="AA3:AA66" si="6">IFERROR(
AVERAGEIFS(N:N,
C:C, "&gt;=" &amp; X3,
C:C, "&lt;=" &amp; Y3),
0)</f>
        <v>0.10541160412718438</v>
      </c>
      <c r="AB3">
        <f t="shared" ref="AB3:AB66" ca="1" si="7">IF(AA3=0,0,(AB3-AA3)/AA3)</f>
        <v>0</v>
      </c>
    </row>
    <row r="4" spans="1:28">
      <c r="A4" s="1" t="s">
        <v>23</v>
      </c>
      <c r="B4" s="1" t="s">
        <v>24</v>
      </c>
      <c r="C4" s="46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377</v>
      </c>
      <c r="M4" s="1" t="s">
        <v>42</v>
      </c>
      <c r="N4" s="13">
        <f t="shared" si="4"/>
        <v>7.0477352576105018E-2</v>
      </c>
      <c r="O4">
        <f t="shared" si="0"/>
        <v>202</v>
      </c>
      <c r="P4">
        <f t="shared" si="1"/>
        <v>3350</v>
      </c>
      <c r="Q4" t="str">
        <f>IF(AND(--$C4&gt;=--Campaign_Metadata_clean!$B$2,--$C4&lt;=--Campaign_Metadata_clean!$C$2),"SummerBeats",
IF(AND(--$C4&gt;=--Campaign_Metadata_clean!$B$3,--$C4&lt;=--Campaign_Metadata_clean!$C$3),"Wrapped2024",
IF(AND(--$C4&gt;=--Campaign_Metadata_clean!$B$4,--$C4&lt;=--Campaign_Metadata_clean!$C$4),"ChillVibes",
IF(AND(--$C4&gt;=--Campaign_Metadata_clean!$B$5,--$C4&lt;=--Campaign_Metadata_clean!$C$5),"IndieWave","No Campaign"))))</f>
        <v>Wrapped2024</v>
      </c>
      <c r="R4" t="str">
        <f t="shared" si="2"/>
        <v>Before</v>
      </c>
      <c r="S4" t="str">
        <f t="shared" si="3"/>
        <v>During</v>
      </c>
      <c r="X4" s="47">
        <f>IFERROR(
_xlfn.XLOOKUP(Q4,
Campaign_Metadata_clean!A:A,
Campaign_Metadata_clean!B:B),
"")</f>
        <v>45627</v>
      </c>
      <c r="Y4" s="47">
        <f>IFERROR(
_xlfn.XLOOKUP(Q4,
Campaign_Metadata_clean!A:A,
Campaign_Metadata_clean!C:C),
"")</f>
        <v>45657</v>
      </c>
      <c r="Z4">
        <f t="shared" si="5"/>
        <v>9.2680818872661358E-2</v>
      </c>
      <c r="AA4">
        <f t="shared" si="6"/>
        <v>9.9294724623054248E-2</v>
      </c>
      <c r="AB4">
        <f t="shared" ca="1" si="7"/>
        <v>0</v>
      </c>
    </row>
    <row r="5" spans="1:28">
      <c r="A5" s="1" t="s">
        <v>28</v>
      </c>
      <c r="B5" s="1" t="s">
        <v>14</v>
      </c>
      <c r="C5" s="46">
        <v>45629</v>
      </c>
      <c r="D5" s="1" t="s">
        <v>15</v>
      </c>
      <c r="E5" s="1" t="s">
        <v>376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45</v>
      </c>
      <c r="M5" s="1" t="s">
        <v>42</v>
      </c>
      <c r="N5" s="13">
        <f t="shared" si="4"/>
        <v>0.1215714092690177</v>
      </c>
      <c r="O5">
        <f t="shared" si="0"/>
        <v>64</v>
      </c>
      <c r="P5">
        <f t="shared" si="1"/>
        <v>3599</v>
      </c>
      <c r="Q5" t="str">
        <f>IF(AND(--$C5&gt;=--Campaign_Metadata_clean!$B$2,--$C5&lt;=--Campaign_Metadata_clean!$C$2),"SummerBeats",
IF(AND(--$C5&gt;=--Campaign_Metadata_clean!$B$3,--$C5&lt;=--Campaign_Metadata_clean!$C$3),"Wrapped2024",
IF(AND(--$C5&gt;=--Campaign_Metadata_clean!$B$4,--$C5&lt;=--Campaign_Metadata_clean!$C$4),"ChillVibes",
IF(AND(--$C5&gt;=--Campaign_Metadata_clean!$B$5,--$C5&lt;=--Campaign_Metadata_clean!$C$5),"IndieWave","No Campaign"))))</f>
        <v>Wrapped2024</v>
      </c>
      <c r="R5" t="str">
        <f t="shared" si="2"/>
        <v>Before</v>
      </c>
      <c r="S5" t="str">
        <f t="shared" si="3"/>
        <v>During</v>
      </c>
      <c r="X5" s="47">
        <f>IFERROR(
_xlfn.XLOOKUP(Q5,
Campaign_Metadata_clean!A:A,
Campaign_Metadata_clean!B:B),
"")</f>
        <v>45627</v>
      </c>
      <c r="Y5" s="47">
        <f>IFERROR(
_xlfn.XLOOKUP(Q5,
Campaign_Metadata_clean!A:A,
Campaign_Metadata_clean!C:C),
"")</f>
        <v>45657</v>
      </c>
      <c r="Z5">
        <f t="shared" si="5"/>
        <v>9.2680818872661358E-2</v>
      </c>
      <c r="AA5">
        <f t="shared" si="6"/>
        <v>9.9294724623054248E-2</v>
      </c>
      <c r="AB5">
        <f t="shared" ca="1" si="7"/>
        <v>0</v>
      </c>
    </row>
    <row r="6" spans="1:28">
      <c r="A6" s="1" t="s">
        <v>30</v>
      </c>
      <c r="B6" s="1" t="s">
        <v>31</v>
      </c>
      <c r="C6" s="46">
        <v>45388</v>
      </c>
      <c r="D6" s="1" t="s">
        <v>15</v>
      </c>
      <c r="E6" s="1" t="s">
        <v>375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21</v>
      </c>
      <c r="M6" s="1" t="s">
        <v>378</v>
      </c>
      <c r="N6" s="13">
        <f t="shared" si="4"/>
        <v>0.1314700217204213</v>
      </c>
      <c r="O6">
        <f t="shared" si="0"/>
        <v>54</v>
      </c>
      <c r="P6">
        <f t="shared" si="1"/>
        <v>3208</v>
      </c>
      <c r="Q6" t="str">
        <f>IF(AND(--$C6&gt;=--Campaign_Metadata_clean!$B$2,--$C6&lt;=--Campaign_Metadata_clean!$C$2),"SummerBeats",
IF(AND(--$C6&gt;=--Campaign_Metadata_clean!$B$3,--$C6&lt;=--Campaign_Metadata_clean!$C$3),"Wrapped2024",
IF(AND(--$C6&gt;=--Campaign_Metadata_clean!$B$4,--$C6&lt;=--Campaign_Metadata_clean!$C$4),"ChillVibes",
IF(AND(--$C6&gt;=--Campaign_Metadata_clean!$B$5,--$C6&lt;=--Campaign_Metadata_clean!$C$5),"IndieWave","No Campaign"))))</f>
        <v>No Campaign</v>
      </c>
      <c r="R6" t="str">
        <f t="shared" si="2"/>
        <v>Before</v>
      </c>
      <c r="S6" t="str">
        <f t="shared" si="3"/>
        <v/>
      </c>
      <c r="X6" s="47" t="str">
        <f>IFERROR(
_xlfn.XLOOKUP(Q6,
Campaign_Metadata_clean!A:A,
Campaign_Metadata_clean!B:B),
"")</f>
        <v/>
      </c>
      <c r="Y6" s="47" t="str">
        <f>IFERROR(
_xlfn.XLOOKUP(Q6,
Campaign_Metadata_clean!A:A,
Campaign_Metadata_clean!C:C),
"")</f>
        <v/>
      </c>
      <c r="Z6">
        <f t="shared" si="5"/>
        <v>0</v>
      </c>
      <c r="AA6">
        <f t="shared" si="6"/>
        <v>0</v>
      </c>
      <c r="AB6">
        <f t="shared" si="7"/>
        <v>0</v>
      </c>
    </row>
    <row r="7" spans="1:28">
      <c r="A7" s="1" t="s">
        <v>34</v>
      </c>
      <c r="B7" s="1" t="s">
        <v>31</v>
      </c>
      <c r="C7" s="46">
        <v>45456</v>
      </c>
      <c r="D7" s="1" t="s">
        <v>15</v>
      </c>
      <c r="E7" s="1" t="s">
        <v>373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21</v>
      </c>
      <c r="M7" s="1" t="s">
        <v>378</v>
      </c>
      <c r="N7" s="13">
        <f t="shared" si="4"/>
        <v>7.4828079253761837E-2</v>
      </c>
      <c r="O7">
        <f t="shared" si="0"/>
        <v>190</v>
      </c>
      <c r="P7">
        <f t="shared" si="1"/>
        <v>4396</v>
      </c>
      <c r="Q7" t="str">
        <f>IF(AND(--$C7&gt;=--Campaign_Metadata_clean!$B$2,--$C7&lt;=--Campaign_Metadata_clean!$C$2),"SummerBeats",
IF(AND(--$C7&gt;=--Campaign_Metadata_clean!$B$3,--$C7&lt;=--Campaign_Metadata_clean!$C$3),"Wrapped2024",
IF(AND(--$C7&gt;=--Campaign_Metadata_clean!$B$4,--$C7&lt;=--Campaign_Metadata_clean!$C$4),"ChillVibes",
IF(AND(--$C7&gt;=--Campaign_Metadata_clean!$B$5,--$C7&lt;=--Campaign_Metadata_clean!$C$5),"IndieWave","No Campaign"))))</f>
        <v>No Campaign</v>
      </c>
      <c r="R7" t="str">
        <f t="shared" si="2"/>
        <v>Before</v>
      </c>
      <c r="S7" t="str">
        <f t="shared" si="3"/>
        <v/>
      </c>
      <c r="X7" s="47" t="str">
        <f>IFERROR(
_xlfn.XLOOKUP(Q7,
Campaign_Metadata_clean!A:A,
Campaign_Metadata_clean!B:B),
"")</f>
        <v/>
      </c>
      <c r="Y7" s="47" t="str">
        <f>IFERROR(
_xlfn.XLOOKUP(Q7,
Campaign_Metadata_clean!A:A,
Campaign_Metadata_clean!C:C),
"")</f>
        <v/>
      </c>
      <c r="Z7">
        <f t="shared" si="5"/>
        <v>0</v>
      </c>
      <c r="AA7">
        <f t="shared" si="6"/>
        <v>0</v>
      </c>
      <c r="AB7">
        <f t="shared" si="7"/>
        <v>0</v>
      </c>
    </row>
    <row r="8" spans="1:28">
      <c r="A8" s="1" t="s">
        <v>36</v>
      </c>
      <c r="B8" s="1" t="s">
        <v>24</v>
      </c>
      <c r="C8" s="46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45</v>
      </c>
      <c r="M8" s="1" t="s">
        <v>42</v>
      </c>
      <c r="N8" s="13">
        <f t="shared" si="4"/>
        <v>0.26064752360763155</v>
      </c>
      <c r="O8">
        <f t="shared" si="0"/>
        <v>1</v>
      </c>
      <c r="P8">
        <f t="shared" si="1"/>
        <v>5410</v>
      </c>
      <c r="Q8" t="str">
        <f>IF(AND(--$C8&gt;=--Campaign_Metadata_clean!$B$2,--$C8&lt;=--Campaign_Metadata_clean!$C$2),"SummerBeats",
IF(AND(--$C8&gt;=--Campaign_Metadata_clean!$B$3,--$C8&lt;=--Campaign_Metadata_clean!$C$3),"Wrapped2024",
IF(AND(--$C8&gt;=--Campaign_Metadata_clean!$B$4,--$C8&lt;=--Campaign_Metadata_clean!$C$4),"ChillVibes",
IF(AND(--$C8&gt;=--Campaign_Metadata_clean!$B$5,--$C8&lt;=--Campaign_Metadata_clean!$C$5),"IndieWave","No Campaign"))))</f>
        <v>Wrapped2024</v>
      </c>
      <c r="R8" t="str">
        <f t="shared" si="2"/>
        <v>Before</v>
      </c>
      <c r="S8" t="str">
        <f t="shared" si="3"/>
        <v>During</v>
      </c>
      <c r="X8" s="47">
        <f>IFERROR(
_xlfn.XLOOKUP(Q8,
Campaign_Metadata_clean!A:A,
Campaign_Metadata_clean!B:B),
"")</f>
        <v>45627</v>
      </c>
      <c r="Y8" s="47">
        <f>IFERROR(
_xlfn.XLOOKUP(Q8,
Campaign_Metadata_clean!A:A,
Campaign_Metadata_clean!C:C),
"")</f>
        <v>45657</v>
      </c>
      <c r="Z8">
        <f t="shared" si="5"/>
        <v>9.2680818872661358E-2</v>
      </c>
      <c r="AA8">
        <f t="shared" si="6"/>
        <v>9.9294724623054248E-2</v>
      </c>
      <c r="AB8">
        <f t="shared" ca="1" si="7"/>
        <v>0</v>
      </c>
    </row>
    <row r="9" spans="1:28">
      <c r="A9" s="1" t="s">
        <v>38</v>
      </c>
      <c r="B9" s="1" t="s">
        <v>24</v>
      </c>
      <c r="C9" s="46">
        <v>45421</v>
      </c>
      <c r="D9" s="1" t="s">
        <v>25</v>
      </c>
      <c r="E9" s="1" t="s">
        <v>376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21</v>
      </c>
      <c r="M9" s="1" t="s">
        <v>377</v>
      </c>
      <c r="N9" s="13">
        <f t="shared" si="4"/>
        <v>8.7100435029317191E-2</v>
      </c>
      <c r="O9">
        <f t="shared" si="0"/>
        <v>144</v>
      </c>
      <c r="P9">
        <f t="shared" si="1"/>
        <v>1842</v>
      </c>
      <c r="Q9" t="str">
        <f>IF(AND(--$C9&gt;=--Campaign_Metadata_clean!$B$2,--$C9&lt;=--Campaign_Metadata_clean!$C$2),"SummerBeats",
IF(AND(--$C9&gt;=--Campaign_Metadata_clean!$B$3,--$C9&lt;=--Campaign_Metadata_clean!$C$3),"Wrapped2024",
IF(AND(--$C9&gt;=--Campaign_Metadata_clean!$B$4,--$C9&lt;=--Campaign_Metadata_clean!$C$4),"ChillVibes",
IF(AND(--$C9&gt;=--Campaign_Metadata_clean!$B$5,--$C9&lt;=--Campaign_Metadata_clean!$C$5),"IndieWave","No Campaign"))))</f>
        <v>No Campaign</v>
      </c>
      <c r="R9" t="str">
        <f t="shared" si="2"/>
        <v>Before</v>
      </c>
      <c r="S9" t="str">
        <f t="shared" si="3"/>
        <v/>
      </c>
      <c r="X9" s="47" t="str">
        <f>IFERROR(
_xlfn.XLOOKUP(Q9,
Campaign_Metadata_clean!A:A,
Campaign_Metadata_clean!B:B),
"")</f>
        <v/>
      </c>
      <c r="Y9" s="47" t="str">
        <f>IFERROR(
_xlfn.XLOOKUP(Q9,
Campaign_Metadata_clean!A:A,
Campaign_Metadata_clean!C:C),
"")</f>
        <v/>
      </c>
      <c r="Z9">
        <f t="shared" si="5"/>
        <v>0</v>
      </c>
      <c r="AA9">
        <f t="shared" si="6"/>
        <v>0</v>
      </c>
      <c r="AB9">
        <f t="shared" si="7"/>
        <v>0</v>
      </c>
    </row>
    <row r="10" spans="1:28">
      <c r="A10" s="1" t="s">
        <v>40</v>
      </c>
      <c r="B10" s="1" t="s">
        <v>24</v>
      </c>
      <c r="C10" s="46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/>
      <c r="N10" s="13">
        <f t="shared" si="4"/>
        <v>8.3943337400027115E-2</v>
      </c>
      <c r="O10">
        <f t="shared" si="0"/>
        <v>162</v>
      </c>
      <c r="P10">
        <f t="shared" si="1"/>
        <v>4954</v>
      </c>
      <c r="Q10" t="str">
        <f>IF(AND(--$C10&gt;=--Campaign_Metadata_clean!$B$2,--$C10&lt;=--Campaign_Metadata_clean!$C$2),"SummerBeats",
IF(AND(--$C10&gt;=--Campaign_Metadata_clean!$B$3,--$C10&lt;=--Campaign_Metadata_clean!$C$3),"Wrapped2024",
IF(AND(--$C10&gt;=--Campaign_Metadata_clean!$B$4,--$C10&lt;=--Campaign_Metadata_clean!$C$4),"ChillVibes",
IF(AND(--$C10&gt;=--Campaign_Metadata_clean!$B$5,--$C10&lt;=--Campaign_Metadata_clean!$C$5),"IndieWave","No Campaign"))))</f>
        <v>No Campaign</v>
      </c>
      <c r="R10" t="str">
        <f t="shared" si="2"/>
        <v>Other</v>
      </c>
      <c r="S10" t="str">
        <f t="shared" si="3"/>
        <v/>
      </c>
      <c r="X10" s="47" t="str">
        <f>IFERROR(
_xlfn.XLOOKUP(Q10,
Campaign_Metadata_clean!A:A,
Campaign_Metadata_clean!B:B),
"")</f>
        <v/>
      </c>
      <c r="Y10" s="47" t="str">
        <f>IFERROR(
_xlfn.XLOOKUP(Q10,
Campaign_Metadata_clean!A:A,
Campaign_Metadata_clean!C:C),
"")</f>
        <v/>
      </c>
      <c r="Z10">
        <f t="shared" si="5"/>
        <v>0</v>
      </c>
      <c r="AA10">
        <f t="shared" si="6"/>
        <v>0</v>
      </c>
      <c r="AB10">
        <f t="shared" si="7"/>
        <v>0</v>
      </c>
    </row>
    <row r="11" spans="1:28">
      <c r="A11" s="1" t="s">
        <v>43</v>
      </c>
      <c r="B11" s="1" t="s">
        <v>24</v>
      </c>
      <c r="C11" s="46">
        <v>45630</v>
      </c>
      <c r="D11" s="1" t="s">
        <v>15</v>
      </c>
      <c r="E11" s="1" t="s">
        <v>376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/>
      <c r="N11" s="13">
        <f t="shared" si="4"/>
        <v>0.12997310581470833</v>
      </c>
      <c r="O11">
        <f t="shared" si="0"/>
        <v>56</v>
      </c>
      <c r="P11">
        <f t="shared" si="1"/>
        <v>2803</v>
      </c>
      <c r="Q11" t="str">
        <f>IF(AND(--$C11&gt;=--Campaign_Metadata_clean!$B$2,--$C11&lt;=--Campaign_Metadata_clean!$C$2),"SummerBeats",
IF(AND(--$C11&gt;=--Campaign_Metadata_clean!$B$3,--$C11&lt;=--Campaign_Metadata_clean!$C$3),"Wrapped2024",
IF(AND(--$C11&gt;=--Campaign_Metadata_clean!$B$4,--$C11&lt;=--Campaign_Metadata_clean!$C$4),"ChillVibes",
IF(AND(--$C11&gt;=--Campaign_Metadata_clean!$B$5,--$C11&lt;=--Campaign_Metadata_clean!$C$5),"IndieWave","No Campaign"))))</f>
        <v>Wrapped2024</v>
      </c>
      <c r="R11" t="str">
        <f t="shared" si="2"/>
        <v>Before</v>
      </c>
      <c r="S11" t="str">
        <f t="shared" si="3"/>
        <v>During</v>
      </c>
      <c r="X11" s="47">
        <f>IFERROR(
_xlfn.XLOOKUP(Q11,
Campaign_Metadata_clean!A:A,
Campaign_Metadata_clean!B:B),
"")</f>
        <v>45627</v>
      </c>
      <c r="Y11" s="47">
        <f>IFERROR(
_xlfn.XLOOKUP(Q11,
Campaign_Metadata_clean!A:A,
Campaign_Metadata_clean!C:C),
"")</f>
        <v>45657</v>
      </c>
      <c r="Z11">
        <f t="shared" si="5"/>
        <v>9.2680818872661358E-2</v>
      </c>
      <c r="AA11">
        <f t="shared" si="6"/>
        <v>9.9294724623054248E-2</v>
      </c>
      <c r="AB11">
        <f t="shared" ca="1" si="7"/>
        <v>0</v>
      </c>
    </row>
    <row r="12" spans="1:28">
      <c r="A12" s="1" t="s">
        <v>44</v>
      </c>
      <c r="B12" s="1" t="s">
        <v>24</v>
      </c>
      <c r="C12" s="46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/>
      <c r="N12" s="13">
        <f t="shared" si="4"/>
        <v>8.4525482181632389E-2</v>
      </c>
      <c r="O12">
        <f t="shared" si="0"/>
        <v>158</v>
      </c>
      <c r="P12">
        <f t="shared" si="1"/>
        <v>2647</v>
      </c>
      <c r="Q12" t="str">
        <f>IF(AND(--$C12&gt;=--Campaign_Metadata_clean!$B$2,--$C12&lt;=--Campaign_Metadata_clean!$C$2),"SummerBeats",
IF(AND(--$C12&gt;=--Campaign_Metadata_clean!$B$3,--$C12&lt;=--Campaign_Metadata_clean!$C$3),"Wrapped2024",
IF(AND(--$C12&gt;=--Campaign_Metadata_clean!$B$4,--$C12&lt;=--Campaign_Metadata_clean!$C$4),"ChillVibes",
IF(AND(--$C12&gt;=--Campaign_Metadata_clean!$B$5,--$C12&lt;=--Campaign_Metadata_clean!$C$5),"IndieWave","No Campaign"))))</f>
        <v>No Campaign</v>
      </c>
      <c r="R12" t="str">
        <f t="shared" si="2"/>
        <v>Before</v>
      </c>
      <c r="S12" t="str">
        <f t="shared" si="3"/>
        <v/>
      </c>
      <c r="X12" s="47" t="str">
        <f>IFERROR(
_xlfn.XLOOKUP(Q12,
Campaign_Metadata_clean!A:A,
Campaign_Metadata_clean!B:B),
"")</f>
        <v/>
      </c>
      <c r="Y12" s="47" t="str">
        <f>IFERROR(
_xlfn.XLOOKUP(Q12,
Campaign_Metadata_clean!A:A,
Campaign_Metadata_clean!C:C),
"")</f>
        <v/>
      </c>
      <c r="Z12">
        <f t="shared" si="5"/>
        <v>0</v>
      </c>
      <c r="AA12">
        <f t="shared" si="6"/>
        <v>0</v>
      </c>
      <c r="AB12">
        <f t="shared" si="7"/>
        <v>0</v>
      </c>
    </row>
    <row r="13" spans="1:28">
      <c r="A13" s="1" t="s">
        <v>46</v>
      </c>
      <c r="B13" s="1" t="s">
        <v>14</v>
      </c>
      <c r="C13" s="46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45</v>
      </c>
      <c r="M13" s="1" t="s">
        <v>42</v>
      </c>
      <c r="N13" s="13">
        <f t="shared" si="4"/>
        <v>5.4191936281527367E-2</v>
      </c>
      <c r="O13">
        <f t="shared" si="0"/>
        <v>241</v>
      </c>
      <c r="P13">
        <f t="shared" si="1"/>
        <v>2082</v>
      </c>
      <c r="Q13" t="str">
        <f>IF(AND(--$C13&gt;=--Campaign_Metadata_clean!$B$2,--$C13&lt;=--Campaign_Metadata_clean!$C$2),"SummerBeats",
IF(AND(--$C13&gt;=--Campaign_Metadata_clean!$B$3,--$C13&lt;=--Campaign_Metadata_clean!$C$3),"Wrapped2024",
IF(AND(--$C13&gt;=--Campaign_Metadata_clean!$B$4,--$C13&lt;=--Campaign_Metadata_clean!$C$4),"ChillVibes",
IF(AND(--$C13&gt;=--Campaign_Metadata_clean!$B$5,--$C13&lt;=--Campaign_Metadata_clean!$C$5),"IndieWave","No Campaign"))))</f>
        <v>No Campaign</v>
      </c>
      <c r="R13" t="str">
        <f t="shared" si="2"/>
        <v>Before</v>
      </c>
      <c r="S13" t="str">
        <f t="shared" si="3"/>
        <v/>
      </c>
      <c r="X13" s="47" t="str">
        <f>IFERROR(
_xlfn.XLOOKUP(Q13,
Campaign_Metadata_clean!A:A,
Campaign_Metadata_clean!B:B),
"")</f>
        <v/>
      </c>
      <c r="Y13" s="47" t="str">
        <f>IFERROR(
_xlfn.XLOOKUP(Q13,
Campaign_Metadata_clean!A:A,
Campaign_Metadata_clean!C:C),
"")</f>
        <v/>
      </c>
      <c r="Z13">
        <f t="shared" si="5"/>
        <v>0</v>
      </c>
      <c r="AA13">
        <f t="shared" si="6"/>
        <v>0</v>
      </c>
      <c r="AB13">
        <f t="shared" si="7"/>
        <v>0</v>
      </c>
    </row>
    <row r="14" spans="1:28">
      <c r="A14" s="1" t="s">
        <v>47</v>
      </c>
      <c r="B14" s="1" t="s">
        <v>24</v>
      </c>
      <c r="C14" s="46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377</v>
      </c>
      <c r="M14" s="1" t="s">
        <v>42</v>
      </c>
      <c r="N14" s="13">
        <f t="shared" si="4"/>
        <v>7.4550393727863554E-2</v>
      </c>
      <c r="O14">
        <f t="shared" si="0"/>
        <v>191</v>
      </c>
      <c r="P14">
        <f t="shared" si="1"/>
        <v>4336</v>
      </c>
      <c r="Q14" t="str">
        <f>IF(AND(--$C14&gt;=--Campaign_Metadata_clean!$B$2,--$C14&lt;=--Campaign_Metadata_clean!$C$2),"SummerBeats",
IF(AND(--$C14&gt;=--Campaign_Metadata_clean!$B$3,--$C14&lt;=--Campaign_Metadata_clean!$C$3),"Wrapped2024",
IF(AND(--$C14&gt;=--Campaign_Metadata_clean!$B$4,--$C14&lt;=--Campaign_Metadata_clean!$C$4),"ChillVibes",
IF(AND(--$C14&gt;=--Campaign_Metadata_clean!$B$5,--$C14&lt;=--Campaign_Metadata_clean!$C$5),"IndieWave","No Campaign"))))</f>
        <v>No Campaign</v>
      </c>
      <c r="R14" t="str">
        <f t="shared" si="2"/>
        <v>Other</v>
      </c>
      <c r="S14" t="str">
        <f t="shared" si="3"/>
        <v/>
      </c>
      <c r="X14" s="47" t="str">
        <f>IFERROR(
_xlfn.XLOOKUP(Q14,
Campaign_Metadata_clean!A:A,
Campaign_Metadata_clean!B:B),
"")</f>
        <v/>
      </c>
      <c r="Y14" s="47" t="str">
        <f>IFERROR(
_xlfn.XLOOKUP(Q14,
Campaign_Metadata_clean!A:A,
Campaign_Metadata_clean!C:C),
"")</f>
        <v/>
      </c>
      <c r="Z14">
        <f t="shared" si="5"/>
        <v>0</v>
      </c>
      <c r="AA14">
        <f t="shared" si="6"/>
        <v>0</v>
      </c>
      <c r="AB14">
        <f t="shared" si="7"/>
        <v>0</v>
      </c>
    </row>
    <row r="15" spans="1:28">
      <c r="A15" s="1" t="s">
        <v>48</v>
      </c>
      <c r="B15" s="1" t="s">
        <v>24</v>
      </c>
      <c r="C15" s="46">
        <v>45573</v>
      </c>
      <c r="D15" s="1" t="s">
        <v>15</v>
      </c>
      <c r="E15" s="1" t="s">
        <v>374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/>
      <c r="N15" s="13">
        <f t="shared" si="4"/>
        <v>8.5063484278785892E-2</v>
      </c>
      <c r="O15">
        <f t="shared" si="0"/>
        <v>155</v>
      </c>
      <c r="P15">
        <f t="shared" si="1"/>
        <v>3122</v>
      </c>
      <c r="Q15" t="str">
        <f>IF(AND(--$C15&gt;=--Campaign_Metadata_clean!$B$2,--$C15&lt;=--Campaign_Metadata_clean!$C$2),"SummerBeats",
IF(AND(--$C15&gt;=--Campaign_Metadata_clean!$B$3,--$C15&lt;=--Campaign_Metadata_clean!$C$3),"Wrapped2024",
IF(AND(--$C15&gt;=--Campaign_Metadata_clean!$B$4,--$C15&lt;=--Campaign_Metadata_clean!$C$4),"ChillVibes",
IF(AND(--$C15&gt;=--Campaign_Metadata_clean!$B$5,--$C15&lt;=--Campaign_Metadata_clean!$C$5),"IndieWave","No Campaign"))))</f>
        <v>No Campaign</v>
      </c>
      <c r="R15" t="str">
        <f t="shared" si="2"/>
        <v>Before</v>
      </c>
      <c r="S15" t="str">
        <f t="shared" si="3"/>
        <v/>
      </c>
      <c r="X15" s="47" t="str">
        <f>IFERROR(
_xlfn.XLOOKUP(Q15,
Campaign_Metadata_clean!A:A,
Campaign_Metadata_clean!B:B),
"")</f>
        <v/>
      </c>
      <c r="Y15" s="47" t="str">
        <f>IFERROR(
_xlfn.XLOOKUP(Q15,
Campaign_Metadata_clean!A:A,
Campaign_Metadata_clean!C:C),
"")</f>
        <v/>
      </c>
      <c r="Z15">
        <f t="shared" si="5"/>
        <v>0</v>
      </c>
      <c r="AA15">
        <f t="shared" si="6"/>
        <v>0</v>
      </c>
      <c r="AB15">
        <f t="shared" si="7"/>
        <v>0</v>
      </c>
    </row>
    <row r="16" spans="1:28">
      <c r="A16" s="1" t="s">
        <v>50</v>
      </c>
      <c r="B16" s="1" t="s">
        <v>24</v>
      </c>
      <c r="C16" s="46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/>
      <c r="N16" s="13">
        <f t="shared" si="4"/>
        <v>0.11274405206444041</v>
      </c>
      <c r="O16">
        <f t="shared" si="0"/>
        <v>75</v>
      </c>
      <c r="P16">
        <f t="shared" si="1"/>
        <v>4227</v>
      </c>
      <c r="Q16" t="str">
        <f>IF(AND(--$C16&gt;=--Campaign_Metadata_clean!$B$2,--$C16&lt;=--Campaign_Metadata_clean!$C$2),"SummerBeats",
IF(AND(--$C16&gt;=--Campaign_Metadata_clean!$B$3,--$C16&lt;=--Campaign_Metadata_clean!$C$3),"Wrapped2024",
IF(AND(--$C16&gt;=--Campaign_Metadata_clean!$B$4,--$C16&lt;=--Campaign_Metadata_clean!$C$4),"ChillVibes",
IF(AND(--$C16&gt;=--Campaign_Metadata_clean!$B$5,--$C16&lt;=--Campaign_Metadata_clean!$C$5),"IndieWave","No Campaign"))))</f>
        <v>No Campaign</v>
      </c>
      <c r="R16" t="str">
        <f t="shared" si="2"/>
        <v>Before</v>
      </c>
      <c r="S16" t="str">
        <f t="shared" si="3"/>
        <v/>
      </c>
      <c r="X16" s="47" t="str">
        <f>IFERROR(
_xlfn.XLOOKUP(Q16,
Campaign_Metadata_clean!A:A,
Campaign_Metadata_clean!B:B),
"")</f>
        <v/>
      </c>
      <c r="Y16" s="47" t="str">
        <f>IFERROR(
_xlfn.XLOOKUP(Q16,
Campaign_Metadata_clean!A:A,
Campaign_Metadata_clean!C:C),
"")</f>
        <v/>
      </c>
      <c r="Z16">
        <f t="shared" si="5"/>
        <v>0</v>
      </c>
      <c r="AA16">
        <f t="shared" si="6"/>
        <v>0</v>
      </c>
      <c r="AB16">
        <f t="shared" si="7"/>
        <v>0</v>
      </c>
    </row>
    <row r="17" spans="1:28">
      <c r="A17" s="1" t="s">
        <v>52</v>
      </c>
      <c r="B17" s="1" t="s">
        <v>24</v>
      </c>
      <c r="C17" s="46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377</v>
      </c>
      <c r="M17" s="1" t="s">
        <v>42</v>
      </c>
      <c r="N17" s="13">
        <f t="shared" si="4"/>
        <v>9.3810966751068869E-2</v>
      </c>
      <c r="O17">
        <f t="shared" si="0"/>
        <v>127</v>
      </c>
      <c r="P17">
        <f t="shared" si="1"/>
        <v>4520</v>
      </c>
      <c r="Q17" t="str">
        <f>IF(AND(--$C17&gt;=--Campaign_Metadata_clean!$B$2,--$C17&lt;=--Campaign_Metadata_clean!$C$2),"SummerBeats",
IF(AND(--$C17&gt;=--Campaign_Metadata_clean!$B$3,--$C17&lt;=--Campaign_Metadata_clean!$C$3),"Wrapped2024",
IF(AND(--$C17&gt;=--Campaign_Metadata_clean!$B$4,--$C17&lt;=--Campaign_Metadata_clean!$C$4),"ChillVibes",
IF(AND(--$C17&gt;=--Campaign_Metadata_clean!$B$5,--$C17&lt;=--Campaign_Metadata_clean!$C$5),"IndieWave","No Campaign"))))</f>
        <v>Wrapped2024</v>
      </c>
      <c r="R17" t="str">
        <f t="shared" si="2"/>
        <v>Before</v>
      </c>
      <c r="S17" t="str">
        <f t="shared" si="3"/>
        <v>During</v>
      </c>
      <c r="X17" s="47">
        <f>IFERROR(
_xlfn.XLOOKUP(Q17,
Campaign_Metadata_clean!A:A,
Campaign_Metadata_clean!B:B),
"")</f>
        <v>45627</v>
      </c>
      <c r="Y17" s="47">
        <f>IFERROR(
_xlfn.XLOOKUP(Q17,
Campaign_Metadata_clean!A:A,
Campaign_Metadata_clean!C:C),
"")</f>
        <v>45657</v>
      </c>
      <c r="Z17">
        <f t="shared" si="5"/>
        <v>9.2680818872661358E-2</v>
      </c>
      <c r="AA17">
        <f t="shared" si="6"/>
        <v>9.9294724623054248E-2</v>
      </c>
      <c r="AB17">
        <f t="shared" ca="1" si="7"/>
        <v>0</v>
      </c>
    </row>
    <row r="18" spans="1:28">
      <c r="A18" s="1" t="s">
        <v>53</v>
      </c>
      <c r="B18" s="1" t="s">
        <v>24</v>
      </c>
      <c r="C18" s="46">
        <v>45453</v>
      </c>
      <c r="D18" s="1" t="s">
        <v>15</v>
      </c>
      <c r="E18" s="1" t="s">
        <v>373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/>
      <c r="N18" s="13">
        <f t="shared" si="4"/>
        <v>4.7214969538729328E-2</v>
      </c>
      <c r="O18">
        <f t="shared" si="0"/>
        <v>261</v>
      </c>
      <c r="P18">
        <f t="shared" si="1"/>
        <v>1953</v>
      </c>
      <c r="Q18" t="str">
        <f>IF(AND(--$C18&gt;=--Campaign_Metadata_clean!$B$2,--$C18&lt;=--Campaign_Metadata_clean!$C$2),"SummerBeats",
IF(AND(--$C18&gt;=--Campaign_Metadata_clean!$B$3,--$C18&lt;=--Campaign_Metadata_clean!$C$3),"Wrapped2024",
IF(AND(--$C18&gt;=--Campaign_Metadata_clean!$B$4,--$C18&lt;=--Campaign_Metadata_clean!$C$4),"ChillVibes",
IF(AND(--$C18&gt;=--Campaign_Metadata_clean!$B$5,--$C18&lt;=--Campaign_Metadata_clean!$C$5),"IndieWave","No Campaign"))))</f>
        <v>No Campaign</v>
      </c>
      <c r="R18" t="str">
        <f t="shared" si="2"/>
        <v>Before</v>
      </c>
      <c r="S18" t="str">
        <f t="shared" si="3"/>
        <v/>
      </c>
      <c r="X18" s="47" t="str">
        <f>IFERROR(
_xlfn.XLOOKUP(Q18,
Campaign_Metadata_clean!A:A,
Campaign_Metadata_clean!B:B),
"")</f>
        <v/>
      </c>
      <c r="Y18" s="47" t="str">
        <f>IFERROR(
_xlfn.XLOOKUP(Q18,
Campaign_Metadata_clean!A:A,
Campaign_Metadata_clean!C:C),
"")</f>
        <v/>
      </c>
      <c r="Z18">
        <f t="shared" si="5"/>
        <v>0</v>
      </c>
      <c r="AA18">
        <f t="shared" si="6"/>
        <v>0</v>
      </c>
      <c r="AB18">
        <f t="shared" si="7"/>
        <v>0</v>
      </c>
    </row>
    <row r="19" spans="1:28">
      <c r="A19" s="1" t="s">
        <v>54</v>
      </c>
      <c r="B19" s="1" t="s">
        <v>14</v>
      </c>
      <c r="C19" s="46">
        <v>45325</v>
      </c>
      <c r="D19" s="1" t="s">
        <v>25</v>
      </c>
      <c r="E19" s="1" t="s">
        <v>375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/>
      <c r="N19" s="13">
        <f t="shared" si="4"/>
        <v>0.1408079806679472</v>
      </c>
      <c r="O19">
        <f t="shared" si="0"/>
        <v>46</v>
      </c>
      <c r="P19">
        <f t="shared" si="1"/>
        <v>4545</v>
      </c>
      <c r="Q19" t="str">
        <f>IF(AND(--$C19&gt;=--Campaign_Metadata_clean!$B$2,--$C19&lt;=--Campaign_Metadata_clean!$C$2),"SummerBeats",
IF(AND(--$C19&gt;=--Campaign_Metadata_clean!$B$3,--$C19&lt;=--Campaign_Metadata_clean!$C$3),"Wrapped2024",
IF(AND(--$C19&gt;=--Campaign_Metadata_clean!$B$4,--$C19&lt;=--Campaign_Metadata_clean!$C$4),"ChillVibes",
IF(AND(--$C19&gt;=--Campaign_Metadata_clean!$B$5,--$C19&lt;=--Campaign_Metadata_clean!$C$5),"IndieWave","No Campaign"))))</f>
        <v>No Campaign</v>
      </c>
      <c r="R19" t="str">
        <f t="shared" si="2"/>
        <v>Before</v>
      </c>
      <c r="S19" t="str">
        <f t="shared" si="3"/>
        <v/>
      </c>
      <c r="X19" s="47" t="str">
        <f>IFERROR(
_xlfn.XLOOKUP(Q19,
Campaign_Metadata_clean!A:A,
Campaign_Metadata_clean!B:B),
"")</f>
        <v/>
      </c>
      <c r="Y19" s="47" t="str">
        <f>IFERROR(
_xlfn.XLOOKUP(Q19,
Campaign_Metadata_clean!A:A,
Campaign_Metadata_clean!C:C),
"")</f>
        <v/>
      </c>
      <c r="Z19">
        <f t="shared" si="5"/>
        <v>0</v>
      </c>
      <c r="AA19">
        <f t="shared" si="6"/>
        <v>0</v>
      </c>
      <c r="AB19">
        <f t="shared" si="7"/>
        <v>0</v>
      </c>
    </row>
    <row r="20" spans="1:28">
      <c r="A20" s="1" t="s">
        <v>56</v>
      </c>
      <c r="B20" s="1" t="s">
        <v>31</v>
      </c>
      <c r="C20" s="46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21</v>
      </c>
      <c r="M20" s="1" t="s">
        <v>45</v>
      </c>
      <c r="N20" s="13">
        <f t="shared" si="4"/>
        <v>6.4255640042732362E-2</v>
      </c>
      <c r="O20">
        <f t="shared" si="0"/>
        <v>213</v>
      </c>
      <c r="P20">
        <f t="shared" si="1"/>
        <v>2045</v>
      </c>
      <c r="Q20" t="str">
        <f>IF(AND(--$C20&gt;=--Campaign_Metadata_clean!$B$2,--$C20&lt;=--Campaign_Metadata_clean!$C$2),"SummerBeats",
IF(AND(--$C20&gt;=--Campaign_Metadata_clean!$B$3,--$C20&lt;=--Campaign_Metadata_clean!$C$3),"Wrapped2024",
IF(AND(--$C20&gt;=--Campaign_Metadata_clean!$B$4,--$C20&lt;=--Campaign_Metadata_clean!$C$4),"ChillVibes",
IF(AND(--$C20&gt;=--Campaign_Metadata_clean!$B$5,--$C20&lt;=--Campaign_Metadata_clean!$C$5),"IndieWave","No Campaign"))))</f>
        <v>SummerBeats</v>
      </c>
      <c r="R20" t="str">
        <f t="shared" si="2"/>
        <v>Before</v>
      </c>
      <c r="S20" t="str">
        <f t="shared" si="3"/>
        <v>During</v>
      </c>
      <c r="X20" s="47">
        <f>IFERROR(
_xlfn.XLOOKUP(Q20,
Campaign_Metadata_clean!A:A,
Campaign_Metadata_clean!B:B),
"")</f>
        <v>45458</v>
      </c>
      <c r="Y20" s="47">
        <f>IFERROR(
_xlfn.XLOOKUP(Q20,
Campaign_Metadata_clean!A:A,
Campaign_Metadata_clean!C:C),
"")</f>
        <v>45488</v>
      </c>
      <c r="Z20">
        <f t="shared" si="5"/>
        <v>7.7477551774674469E-2</v>
      </c>
      <c r="AA20">
        <f t="shared" si="6"/>
        <v>9.67495057607137E-2</v>
      </c>
      <c r="AB20">
        <f t="shared" ca="1" si="7"/>
        <v>0</v>
      </c>
    </row>
    <row r="21" spans="1:28">
      <c r="A21" s="1" t="s">
        <v>60</v>
      </c>
      <c r="B21" s="1" t="s">
        <v>14</v>
      </c>
      <c r="C21" s="46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/>
      <c r="N21" s="13">
        <f t="shared" si="4"/>
        <v>0.15347655981879332</v>
      </c>
      <c r="O21">
        <f t="shared" si="0"/>
        <v>35</v>
      </c>
      <c r="P21">
        <f t="shared" si="1"/>
        <v>4472</v>
      </c>
      <c r="Q21" t="str">
        <f>IF(AND(--$C21&gt;=--Campaign_Metadata_clean!$B$2,--$C21&lt;=--Campaign_Metadata_clean!$C$2),"SummerBeats",
IF(AND(--$C21&gt;=--Campaign_Metadata_clean!$B$3,--$C21&lt;=--Campaign_Metadata_clean!$C$3),"Wrapped2024",
IF(AND(--$C21&gt;=--Campaign_Metadata_clean!$B$4,--$C21&lt;=--Campaign_Metadata_clean!$C$4),"ChillVibes",
IF(AND(--$C21&gt;=--Campaign_Metadata_clean!$B$5,--$C21&lt;=--Campaign_Metadata_clean!$C$5),"IndieWave","No Campaign"))))</f>
        <v>SummerBeats</v>
      </c>
      <c r="R21" t="str">
        <f t="shared" si="2"/>
        <v>Before</v>
      </c>
      <c r="S21" t="str">
        <f t="shared" si="3"/>
        <v>During</v>
      </c>
      <c r="X21" s="47">
        <f>IFERROR(
_xlfn.XLOOKUP(Q21,
Campaign_Metadata_clean!A:A,
Campaign_Metadata_clean!B:B),
"")</f>
        <v>45458</v>
      </c>
      <c r="Y21" s="47">
        <f>IFERROR(
_xlfn.XLOOKUP(Q21,
Campaign_Metadata_clean!A:A,
Campaign_Metadata_clean!C:C),
"")</f>
        <v>45488</v>
      </c>
      <c r="Z21">
        <f t="shared" si="5"/>
        <v>7.7477551774674469E-2</v>
      </c>
      <c r="AA21">
        <f t="shared" si="6"/>
        <v>9.67495057607137E-2</v>
      </c>
      <c r="AB21">
        <f t="shared" ca="1" si="7"/>
        <v>0</v>
      </c>
    </row>
    <row r="22" spans="1:28">
      <c r="A22" s="1" t="s">
        <v>61</v>
      </c>
      <c r="B22" s="1" t="s">
        <v>14</v>
      </c>
      <c r="C22" s="46">
        <v>45603</v>
      </c>
      <c r="D22" s="1" t="s">
        <v>25</v>
      </c>
      <c r="E22" s="1" t="s">
        <v>376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/>
      <c r="N22" s="13">
        <f t="shared" si="4"/>
        <v>4.3543867212761371E-2</v>
      </c>
      <c r="O22">
        <f t="shared" si="0"/>
        <v>271</v>
      </c>
      <c r="P22">
        <f t="shared" si="1"/>
        <v>2424</v>
      </c>
      <c r="Q22" t="str">
        <f>IF(AND(--$C22&gt;=--Campaign_Metadata_clean!$B$2,--$C22&lt;=--Campaign_Metadata_clean!$C$2),"SummerBeats",
IF(AND(--$C22&gt;=--Campaign_Metadata_clean!$B$3,--$C22&lt;=--Campaign_Metadata_clean!$C$3),"Wrapped2024",
IF(AND(--$C22&gt;=--Campaign_Metadata_clean!$B$4,--$C22&lt;=--Campaign_Metadata_clean!$C$4),"ChillVibes",
IF(AND(--$C22&gt;=--Campaign_Metadata_clean!$B$5,--$C22&lt;=--Campaign_Metadata_clean!$C$5),"IndieWave","No Campaign"))))</f>
        <v>No Campaign</v>
      </c>
      <c r="R22" t="str">
        <f t="shared" si="2"/>
        <v>Before</v>
      </c>
      <c r="S22" t="str">
        <f t="shared" si="3"/>
        <v/>
      </c>
      <c r="X22" s="47" t="str">
        <f>IFERROR(
_xlfn.XLOOKUP(Q22,
Campaign_Metadata_clean!A:A,
Campaign_Metadata_clean!B:B),
"")</f>
        <v/>
      </c>
      <c r="Y22" s="47" t="str">
        <f>IFERROR(
_xlfn.XLOOKUP(Q22,
Campaign_Metadata_clean!A:A,
Campaign_Metadata_clean!C:C),
"")</f>
        <v/>
      </c>
      <c r="Z22">
        <f t="shared" si="5"/>
        <v>0</v>
      </c>
      <c r="AA22">
        <f t="shared" si="6"/>
        <v>0</v>
      </c>
      <c r="AB22">
        <f t="shared" si="7"/>
        <v>0</v>
      </c>
    </row>
    <row r="23" spans="1:28">
      <c r="A23" s="1" t="s">
        <v>62</v>
      </c>
      <c r="B23" s="1" t="s">
        <v>14</v>
      </c>
      <c r="C23" s="46">
        <v>45823</v>
      </c>
      <c r="D23" s="1" t="s">
        <v>15</v>
      </c>
      <c r="E23" s="1" t="s">
        <v>373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45</v>
      </c>
      <c r="M23" s="1" t="s">
        <v>42</v>
      </c>
      <c r="N23" s="13">
        <f t="shared" si="4"/>
        <v>0.19548583208133888</v>
      </c>
      <c r="O23">
        <f t="shared" si="0"/>
        <v>6</v>
      </c>
      <c r="P23">
        <f t="shared" si="1"/>
        <v>5595</v>
      </c>
      <c r="Q23" t="str">
        <f>IF(AND(--$C23&gt;=--Campaign_Metadata_clean!$B$2,--$C23&lt;=--Campaign_Metadata_clean!$C$2),"SummerBeats",
IF(AND(--$C23&gt;=--Campaign_Metadata_clean!$B$3,--$C23&lt;=--Campaign_Metadata_clean!$C$3),"Wrapped2024",
IF(AND(--$C23&gt;=--Campaign_Metadata_clean!$B$4,--$C23&lt;=--Campaign_Metadata_clean!$C$4),"ChillVibes",
IF(AND(--$C23&gt;=--Campaign_Metadata_clean!$B$5,--$C23&lt;=--Campaign_Metadata_clean!$C$5),"IndieWave","No Campaign"))))</f>
        <v>No Campaign</v>
      </c>
      <c r="R23" t="str">
        <f t="shared" si="2"/>
        <v>Other</v>
      </c>
      <c r="S23" t="str">
        <f t="shared" si="3"/>
        <v/>
      </c>
      <c r="X23" s="47" t="str">
        <f>IFERROR(
_xlfn.XLOOKUP(Q23,
Campaign_Metadata_clean!A:A,
Campaign_Metadata_clean!B:B),
"")</f>
        <v/>
      </c>
      <c r="Y23" s="47" t="str">
        <f>IFERROR(
_xlfn.XLOOKUP(Q23,
Campaign_Metadata_clean!A:A,
Campaign_Metadata_clean!C:C),
"")</f>
        <v/>
      </c>
      <c r="Z23">
        <f t="shared" si="5"/>
        <v>0</v>
      </c>
      <c r="AA23">
        <f t="shared" si="6"/>
        <v>0</v>
      </c>
      <c r="AB23">
        <f t="shared" si="7"/>
        <v>0</v>
      </c>
    </row>
    <row r="24" spans="1:28">
      <c r="A24" s="1" t="s">
        <v>63</v>
      </c>
      <c r="B24" s="1" t="s">
        <v>31</v>
      </c>
      <c r="C24" s="46">
        <v>45452</v>
      </c>
      <c r="D24" s="1" t="s">
        <v>57</v>
      </c>
      <c r="E24" s="1" t="s">
        <v>374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21</v>
      </c>
      <c r="M24" s="1" t="s">
        <v>45</v>
      </c>
      <c r="N24" s="13">
        <f t="shared" si="4"/>
        <v>8.0047619047619048E-2</v>
      </c>
      <c r="O24">
        <f t="shared" si="0"/>
        <v>178</v>
      </c>
      <c r="P24">
        <f t="shared" si="1"/>
        <v>3362</v>
      </c>
      <c r="Q24" t="str">
        <f>IF(AND(--$C24&gt;=--Campaign_Metadata_clean!$B$2,--$C24&lt;=--Campaign_Metadata_clean!$C$2),"SummerBeats",
IF(AND(--$C24&gt;=--Campaign_Metadata_clean!$B$3,--$C24&lt;=--Campaign_Metadata_clean!$C$3),"Wrapped2024",
IF(AND(--$C24&gt;=--Campaign_Metadata_clean!$B$4,--$C24&lt;=--Campaign_Metadata_clean!$C$4),"ChillVibes",
IF(AND(--$C24&gt;=--Campaign_Metadata_clean!$B$5,--$C24&lt;=--Campaign_Metadata_clean!$C$5),"IndieWave","No Campaign"))))</f>
        <v>No Campaign</v>
      </c>
      <c r="R24" t="str">
        <f t="shared" si="2"/>
        <v>Before</v>
      </c>
      <c r="S24" t="str">
        <f t="shared" si="3"/>
        <v/>
      </c>
      <c r="X24" s="47" t="str">
        <f>IFERROR(
_xlfn.XLOOKUP(Q24,
Campaign_Metadata_clean!A:A,
Campaign_Metadata_clean!B:B),
"")</f>
        <v/>
      </c>
      <c r="Y24" s="47" t="str">
        <f>IFERROR(
_xlfn.XLOOKUP(Q24,
Campaign_Metadata_clean!A:A,
Campaign_Metadata_clean!C:C),
"")</f>
        <v/>
      </c>
      <c r="Z24">
        <f t="shared" si="5"/>
        <v>0</v>
      </c>
      <c r="AA24">
        <f t="shared" si="6"/>
        <v>0</v>
      </c>
      <c r="AB24">
        <f t="shared" si="7"/>
        <v>0</v>
      </c>
    </row>
    <row r="25" spans="1:28">
      <c r="A25" s="1" t="s">
        <v>64</v>
      </c>
      <c r="B25" s="1" t="s">
        <v>24</v>
      </c>
      <c r="C25" s="46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/>
      <c r="N25" s="13">
        <f t="shared" si="4"/>
        <v>0.11026748397882419</v>
      </c>
      <c r="O25">
        <f t="shared" si="0"/>
        <v>83</v>
      </c>
      <c r="P25">
        <f t="shared" si="1"/>
        <v>3166</v>
      </c>
      <c r="Q25" t="str">
        <f>IF(AND(--$C25&gt;=--Campaign_Metadata_clean!$B$2,--$C25&lt;=--Campaign_Metadata_clean!$C$2),"SummerBeats",
IF(AND(--$C25&gt;=--Campaign_Metadata_clean!$B$3,--$C25&lt;=--Campaign_Metadata_clean!$C$3),"Wrapped2024",
IF(AND(--$C25&gt;=--Campaign_Metadata_clean!$B$4,--$C25&lt;=--Campaign_Metadata_clean!$C$4),"ChillVibes",
IF(AND(--$C25&gt;=--Campaign_Metadata_clean!$B$5,--$C25&lt;=--Campaign_Metadata_clean!$C$5),"IndieWave","No Campaign"))))</f>
        <v>No Campaign</v>
      </c>
      <c r="R25" t="str">
        <f t="shared" si="2"/>
        <v>Before</v>
      </c>
      <c r="S25" t="str">
        <f t="shared" si="3"/>
        <v/>
      </c>
      <c r="X25" s="47" t="str">
        <f>IFERROR(
_xlfn.XLOOKUP(Q25,
Campaign_Metadata_clean!A:A,
Campaign_Metadata_clean!B:B),
"")</f>
        <v/>
      </c>
      <c r="Y25" s="47" t="str">
        <f>IFERROR(
_xlfn.XLOOKUP(Q25,
Campaign_Metadata_clean!A:A,
Campaign_Metadata_clean!C:C),
"")</f>
        <v/>
      </c>
      <c r="Z25">
        <f t="shared" si="5"/>
        <v>0</v>
      </c>
      <c r="AA25">
        <f t="shared" si="6"/>
        <v>0</v>
      </c>
      <c r="AB25">
        <f t="shared" si="7"/>
        <v>0</v>
      </c>
    </row>
    <row r="26" spans="1:28">
      <c r="A26" s="1" t="s">
        <v>65</v>
      </c>
      <c r="B26" s="1" t="s">
        <v>31</v>
      </c>
      <c r="C26" s="46">
        <v>45575</v>
      </c>
      <c r="D26" s="1" t="s">
        <v>57</v>
      </c>
      <c r="E26" s="1" t="s">
        <v>374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21</v>
      </c>
      <c r="M26" s="1" t="s">
        <v>45</v>
      </c>
      <c r="N26" s="13">
        <f t="shared" si="4"/>
        <v>8.1036535115831879E-2</v>
      </c>
      <c r="O26">
        <f t="shared" si="0"/>
        <v>174</v>
      </c>
      <c r="P26">
        <f t="shared" si="1"/>
        <v>4425</v>
      </c>
      <c r="Q26" t="str">
        <f>IF(AND(--$C26&gt;=--Campaign_Metadata_clean!$B$2,--$C26&lt;=--Campaign_Metadata_clean!$C$2),"SummerBeats",
IF(AND(--$C26&gt;=--Campaign_Metadata_clean!$B$3,--$C26&lt;=--Campaign_Metadata_clean!$C$3),"Wrapped2024",
IF(AND(--$C26&gt;=--Campaign_Metadata_clean!$B$4,--$C26&lt;=--Campaign_Metadata_clean!$C$4),"ChillVibes",
IF(AND(--$C26&gt;=--Campaign_Metadata_clean!$B$5,--$C26&lt;=--Campaign_Metadata_clean!$C$5),"IndieWave","No Campaign"))))</f>
        <v>No Campaign</v>
      </c>
      <c r="R26" t="str">
        <f t="shared" si="2"/>
        <v>Before</v>
      </c>
      <c r="S26" t="str">
        <f t="shared" si="3"/>
        <v/>
      </c>
      <c r="X26" s="47" t="str">
        <f>IFERROR(
_xlfn.XLOOKUP(Q26,
Campaign_Metadata_clean!A:A,
Campaign_Metadata_clean!B:B),
"")</f>
        <v/>
      </c>
      <c r="Y26" s="47" t="str">
        <f>IFERROR(
_xlfn.XLOOKUP(Q26,
Campaign_Metadata_clean!A:A,
Campaign_Metadata_clean!C:C),
"")</f>
        <v/>
      </c>
      <c r="Z26">
        <f t="shared" si="5"/>
        <v>0</v>
      </c>
      <c r="AA26">
        <f t="shared" si="6"/>
        <v>0</v>
      </c>
      <c r="AB26">
        <f t="shared" si="7"/>
        <v>0</v>
      </c>
    </row>
    <row r="27" spans="1:28">
      <c r="A27" s="1" t="s">
        <v>66</v>
      </c>
      <c r="B27" s="1" t="s">
        <v>24</v>
      </c>
      <c r="C27" s="46">
        <v>45791</v>
      </c>
      <c r="D27" s="1" t="s">
        <v>25</v>
      </c>
      <c r="E27" s="1" t="s">
        <v>374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21</v>
      </c>
      <c r="M27" s="1" t="s">
        <v>377</v>
      </c>
      <c r="N27" s="13">
        <f t="shared" si="4"/>
        <v>5.173411449857148E-2</v>
      </c>
      <c r="O27">
        <f t="shared" si="0"/>
        <v>251</v>
      </c>
      <c r="P27">
        <f t="shared" si="1"/>
        <v>2861</v>
      </c>
      <c r="Q27" t="str">
        <f>IF(AND(--$C27&gt;=--Campaign_Metadata_clean!$B$2,--$C27&lt;=--Campaign_Metadata_clean!$C$2),"SummerBeats",
IF(AND(--$C27&gt;=--Campaign_Metadata_clean!$B$3,--$C27&lt;=--Campaign_Metadata_clean!$C$3),"Wrapped2024",
IF(AND(--$C27&gt;=--Campaign_Metadata_clean!$B$4,--$C27&lt;=--Campaign_Metadata_clean!$C$4),"ChillVibes",
IF(AND(--$C27&gt;=--Campaign_Metadata_clean!$B$5,--$C27&lt;=--Campaign_Metadata_clean!$C$5),"IndieWave","No Campaign"))))</f>
        <v>No Campaign</v>
      </c>
      <c r="R27" t="str">
        <f t="shared" si="2"/>
        <v>Other</v>
      </c>
      <c r="S27" t="str">
        <f t="shared" si="3"/>
        <v/>
      </c>
      <c r="X27" s="47" t="str">
        <f>IFERROR(
_xlfn.XLOOKUP(Q27,
Campaign_Metadata_clean!A:A,
Campaign_Metadata_clean!B:B),
"")</f>
        <v/>
      </c>
      <c r="Y27" s="47" t="str">
        <f>IFERROR(
_xlfn.XLOOKUP(Q27,
Campaign_Metadata_clean!A:A,
Campaign_Metadata_clean!C:C),
"")</f>
        <v/>
      </c>
      <c r="Z27">
        <f t="shared" si="5"/>
        <v>0</v>
      </c>
      <c r="AA27">
        <f t="shared" si="6"/>
        <v>0</v>
      </c>
      <c r="AB27">
        <f t="shared" si="7"/>
        <v>0</v>
      </c>
    </row>
    <row r="28" spans="1:28">
      <c r="A28" s="1" t="s">
        <v>67</v>
      </c>
      <c r="B28" s="1" t="s">
        <v>14</v>
      </c>
      <c r="C28" s="46">
        <v>45625</v>
      </c>
      <c r="D28" s="1" t="s">
        <v>15</v>
      </c>
      <c r="E28" s="1" t="s">
        <v>373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45</v>
      </c>
      <c r="M28" s="1" t="s">
        <v>42</v>
      </c>
      <c r="N28" s="13">
        <f t="shared" si="4"/>
        <v>0.11363049929041415</v>
      </c>
      <c r="O28">
        <f t="shared" si="0"/>
        <v>73</v>
      </c>
      <c r="P28">
        <f t="shared" si="1"/>
        <v>3523</v>
      </c>
      <c r="Q28" t="str">
        <f>IF(AND(--$C28&gt;=--Campaign_Metadata_clean!$B$2,--$C28&lt;=--Campaign_Metadata_clean!$C$2),"SummerBeats",
IF(AND(--$C28&gt;=--Campaign_Metadata_clean!$B$3,--$C28&lt;=--Campaign_Metadata_clean!$C$3),"Wrapped2024",
IF(AND(--$C28&gt;=--Campaign_Metadata_clean!$B$4,--$C28&lt;=--Campaign_Metadata_clean!$C$4),"ChillVibes",
IF(AND(--$C28&gt;=--Campaign_Metadata_clean!$B$5,--$C28&lt;=--Campaign_Metadata_clean!$C$5),"IndieWave","No Campaign"))))</f>
        <v>No Campaign</v>
      </c>
      <c r="R28" t="str">
        <f t="shared" si="2"/>
        <v>Before</v>
      </c>
      <c r="S28" t="str">
        <f t="shared" si="3"/>
        <v/>
      </c>
      <c r="X28" s="47" t="str">
        <f>IFERROR(
_xlfn.XLOOKUP(Q28,
Campaign_Metadata_clean!A:A,
Campaign_Metadata_clean!B:B),
"")</f>
        <v/>
      </c>
      <c r="Y28" s="47" t="str">
        <f>IFERROR(
_xlfn.XLOOKUP(Q28,
Campaign_Metadata_clean!A:A,
Campaign_Metadata_clean!C:C),
"")</f>
        <v/>
      </c>
      <c r="Z28">
        <f t="shared" si="5"/>
        <v>0</v>
      </c>
      <c r="AA28">
        <f t="shared" si="6"/>
        <v>0</v>
      </c>
      <c r="AB28">
        <f t="shared" si="7"/>
        <v>0</v>
      </c>
    </row>
    <row r="29" spans="1:28">
      <c r="A29" s="1" t="s">
        <v>68</v>
      </c>
      <c r="B29" s="1" t="s">
        <v>31</v>
      </c>
      <c r="C29" s="46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21</v>
      </c>
      <c r="M29" s="1" t="s">
        <v>45</v>
      </c>
      <c r="N29" s="13">
        <f t="shared" si="4"/>
        <v>8.205676046117874E-2</v>
      </c>
      <c r="O29">
        <f t="shared" si="0"/>
        <v>169</v>
      </c>
      <c r="P29">
        <f t="shared" si="1"/>
        <v>4071</v>
      </c>
      <c r="Q29" t="str">
        <f>IF(AND(--$C29&gt;=--Campaign_Metadata_clean!$B$2,--$C29&lt;=--Campaign_Metadata_clean!$C$2),"SummerBeats",
IF(AND(--$C29&gt;=--Campaign_Metadata_clean!$B$3,--$C29&lt;=--Campaign_Metadata_clean!$C$3),"Wrapped2024",
IF(AND(--$C29&gt;=--Campaign_Metadata_clean!$B$4,--$C29&lt;=--Campaign_Metadata_clean!$C$4),"ChillVibes",
IF(AND(--$C29&gt;=--Campaign_Metadata_clean!$B$5,--$C29&lt;=--Campaign_Metadata_clean!$C$5),"IndieWave","No Campaign"))))</f>
        <v>No Campaign</v>
      </c>
      <c r="R29" t="str">
        <f t="shared" si="2"/>
        <v>Before</v>
      </c>
      <c r="S29" t="str">
        <f t="shared" si="3"/>
        <v/>
      </c>
      <c r="X29" s="47" t="str">
        <f>IFERROR(
_xlfn.XLOOKUP(Q29,
Campaign_Metadata_clean!A:A,
Campaign_Metadata_clean!B:B),
"")</f>
        <v/>
      </c>
      <c r="Y29" s="47" t="str">
        <f>IFERROR(
_xlfn.XLOOKUP(Q29,
Campaign_Metadata_clean!A:A,
Campaign_Metadata_clean!C:C),
"")</f>
        <v/>
      </c>
      <c r="Z29">
        <f t="shared" si="5"/>
        <v>0</v>
      </c>
      <c r="AA29">
        <f t="shared" si="6"/>
        <v>0</v>
      </c>
      <c r="AB29">
        <f t="shared" si="7"/>
        <v>0</v>
      </c>
    </row>
    <row r="30" spans="1:28">
      <c r="A30" s="1" t="s">
        <v>69</v>
      </c>
      <c r="B30" s="1" t="s">
        <v>24</v>
      </c>
      <c r="C30" s="46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377</v>
      </c>
      <c r="M30" s="1" t="s">
        <v>42</v>
      </c>
      <c r="N30" s="13">
        <f t="shared" si="4"/>
        <v>6.9526910553533799E-2</v>
      </c>
      <c r="O30">
        <f t="shared" si="0"/>
        <v>203</v>
      </c>
      <c r="P30">
        <f t="shared" si="1"/>
        <v>3993</v>
      </c>
      <c r="Q30" t="str">
        <f>IF(AND(--$C30&gt;=--Campaign_Metadata_clean!$B$2,--$C30&lt;=--Campaign_Metadata_clean!$C$2),"SummerBeats",
IF(AND(--$C30&gt;=--Campaign_Metadata_clean!$B$3,--$C30&lt;=--Campaign_Metadata_clean!$C$3),"Wrapped2024",
IF(AND(--$C30&gt;=--Campaign_Metadata_clean!$B$4,--$C30&lt;=--Campaign_Metadata_clean!$C$4),"ChillVibes",
IF(AND(--$C30&gt;=--Campaign_Metadata_clean!$B$5,--$C30&lt;=--Campaign_Metadata_clean!$C$5),"IndieWave","No Campaign"))))</f>
        <v>IndieWave</v>
      </c>
      <c r="R30" t="str">
        <f t="shared" si="2"/>
        <v>Other</v>
      </c>
      <c r="S30" t="str">
        <f t="shared" si="3"/>
        <v>During</v>
      </c>
      <c r="X30" s="47">
        <f>IFERROR(
_xlfn.XLOOKUP(Q30,
Campaign_Metadata_clean!A:A,
Campaign_Metadata_clean!B:B),
"")</f>
        <v>45717</v>
      </c>
      <c r="Y30" s="47">
        <f>IFERROR(
_xlfn.XLOOKUP(Q30,
Campaign_Metadata_clean!A:A,
Campaign_Metadata_clean!C:C),
"")</f>
        <v>45747</v>
      </c>
      <c r="Z30">
        <f t="shared" si="5"/>
        <v>0.11058335030833821</v>
      </c>
      <c r="AA30">
        <f t="shared" si="6"/>
        <v>0.10264545756473814</v>
      </c>
      <c r="AB30">
        <f t="shared" ca="1" si="7"/>
        <v>0</v>
      </c>
    </row>
    <row r="31" spans="1:28">
      <c r="A31" s="1" t="s">
        <v>70</v>
      </c>
      <c r="B31" s="1" t="s">
        <v>24</v>
      </c>
      <c r="C31" s="46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/>
      <c r="N31" s="13">
        <f t="shared" si="4"/>
        <v>0.10399399962497656</v>
      </c>
      <c r="O31">
        <f t="shared" si="0"/>
        <v>101</v>
      </c>
      <c r="P31">
        <f t="shared" si="1"/>
        <v>2773</v>
      </c>
      <c r="Q31" t="str">
        <f>IF(AND(--$C31&gt;=--Campaign_Metadata_clean!$B$2,--$C31&lt;=--Campaign_Metadata_clean!$C$2),"SummerBeats",
IF(AND(--$C31&gt;=--Campaign_Metadata_clean!$B$3,--$C31&lt;=--Campaign_Metadata_clean!$C$3),"Wrapped2024",
IF(AND(--$C31&gt;=--Campaign_Metadata_clean!$B$4,--$C31&lt;=--Campaign_Metadata_clean!$C$4),"ChillVibes",
IF(AND(--$C31&gt;=--Campaign_Metadata_clean!$B$5,--$C31&lt;=--Campaign_Metadata_clean!$C$5),"IndieWave","No Campaign"))))</f>
        <v>No Campaign</v>
      </c>
      <c r="R31" t="str">
        <f t="shared" si="2"/>
        <v>Other</v>
      </c>
      <c r="S31" t="str">
        <f t="shared" si="3"/>
        <v/>
      </c>
      <c r="X31" s="47" t="str">
        <f>IFERROR(
_xlfn.XLOOKUP(Q31,
Campaign_Metadata_clean!A:A,
Campaign_Metadata_clean!B:B),
"")</f>
        <v/>
      </c>
      <c r="Y31" s="47" t="str">
        <f>IFERROR(
_xlfn.XLOOKUP(Q31,
Campaign_Metadata_clean!A:A,
Campaign_Metadata_clean!C:C),
"")</f>
        <v/>
      </c>
      <c r="Z31">
        <f t="shared" si="5"/>
        <v>0</v>
      </c>
      <c r="AA31">
        <f t="shared" si="6"/>
        <v>0</v>
      </c>
      <c r="AB31">
        <f t="shared" si="7"/>
        <v>0</v>
      </c>
    </row>
    <row r="32" spans="1:28">
      <c r="A32" s="1" t="s">
        <v>71</v>
      </c>
      <c r="B32" s="1" t="s">
        <v>14</v>
      </c>
      <c r="C32" s="46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45</v>
      </c>
      <c r="M32" s="1" t="s">
        <v>42</v>
      </c>
      <c r="N32" s="13">
        <f t="shared" si="4"/>
        <v>8.0484684812735408E-2</v>
      </c>
      <c r="O32">
        <f t="shared" si="0"/>
        <v>176</v>
      </c>
      <c r="P32">
        <f t="shared" si="1"/>
        <v>4530</v>
      </c>
      <c r="Q32" t="str">
        <f>IF(AND(--$C32&gt;=--Campaign_Metadata_clean!$B$2,--$C32&lt;=--Campaign_Metadata_clean!$C$2),"SummerBeats",
IF(AND(--$C32&gt;=--Campaign_Metadata_clean!$B$3,--$C32&lt;=--Campaign_Metadata_clean!$C$3),"Wrapped2024",
IF(AND(--$C32&gt;=--Campaign_Metadata_clean!$B$4,--$C32&lt;=--Campaign_Metadata_clean!$C$4),"ChillVibes",
IF(AND(--$C32&gt;=--Campaign_Metadata_clean!$B$5,--$C32&lt;=--Campaign_Metadata_clean!$C$5),"IndieWave","No Campaign"))))</f>
        <v>No Campaign</v>
      </c>
      <c r="R32" t="str">
        <f t="shared" si="2"/>
        <v>Before</v>
      </c>
      <c r="S32" t="str">
        <f t="shared" si="3"/>
        <v/>
      </c>
      <c r="X32" s="47" t="str">
        <f>IFERROR(
_xlfn.XLOOKUP(Q32,
Campaign_Metadata_clean!A:A,
Campaign_Metadata_clean!B:B),
"")</f>
        <v/>
      </c>
      <c r="Y32" s="47" t="str">
        <f>IFERROR(
_xlfn.XLOOKUP(Q32,
Campaign_Metadata_clean!A:A,
Campaign_Metadata_clean!C:C),
"")</f>
        <v/>
      </c>
      <c r="Z32">
        <f t="shared" si="5"/>
        <v>0</v>
      </c>
      <c r="AA32">
        <f t="shared" si="6"/>
        <v>0</v>
      </c>
      <c r="AB32">
        <f t="shared" si="7"/>
        <v>0</v>
      </c>
    </row>
    <row r="33" spans="1:28">
      <c r="A33" s="1" t="s">
        <v>72</v>
      </c>
      <c r="B33" s="1" t="s">
        <v>24</v>
      </c>
      <c r="C33" s="46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45</v>
      </c>
      <c r="M33" s="1" t="s">
        <v>42</v>
      </c>
      <c r="N33" s="13">
        <f t="shared" si="4"/>
        <v>7.519889311656866E-2</v>
      </c>
      <c r="O33">
        <f t="shared" si="0"/>
        <v>187</v>
      </c>
      <c r="P33">
        <f t="shared" si="1"/>
        <v>3261</v>
      </c>
      <c r="Q33" t="str">
        <f>IF(AND(--$C33&gt;=--Campaign_Metadata_clean!$B$2,--$C33&lt;=--Campaign_Metadata_clean!$C$2),"SummerBeats",
IF(AND(--$C33&gt;=--Campaign_Metadata_clean!$B$3,--$C33&lt;=--Campaign_Metadata_clean!$C$3),"Wrapped2024",
IF(AND(--$C33&gt;=--Campaign_Metadata_clean!$B$4,--$C33&lt;=--Campaign_Metadata_clean!$C$4),"ChillVibes",
IF(AND(--$C33&gt;=--Campaign_Metadata_clean!$B$5,--$C33&lt;=--Campaign_Metadata_clean!$C$5),"IndieWave","No Campaign"))))</f>
        <v>No Campaign</v>
      </c>
      <c r="R33" t="str">
        <f t="shared" si="2"/>
        <v>Before</v>
      </c>
      <c r="S33" t="str">
        <f t="shared" si="3"/>
        <v/>
      </c>
      <c r="X33" s="47" t="str">
        <f>IFERROR(
_xlfn.XLOOKUP(Q33,
Campaign_Metadata_clean!A:A,
Campaign_Metadata_clean!B:B),
"")</f>
        <v/>
      </c>
      <c r="Y33" s="47" t="str">
        <f>IFERROR(
_xlfn.XLOOKUP(Q33,
Campaign_Metadata_clean!A:A,
Campaign_Metadata_clean!C:C),
"")</f>
        <v/>
      </c>
      <c r="Z33">
        <f t="shared" si="5"/>
        <v>0</v>
      </c>
      <c r="AA33">
        <f t="shared" si="6"/>
        <v>0</v>
      </c>
      <c r="AB33">
        <f t="shared" si="7"/>
        <v>0</v>
      </c>
    </row>
    <row r="34" spans="1:28">
      <c r="A34" s="1" t="s">
        <v>73</v>
      </c>
      <c r="B34" s="1" t="s">
        <v>24</v>
      </c>
      <c r="C34" s="46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21</v>
      </c>
      <c r="M34" s="1" t="s">
        <v>377</v>
      </c>
      <c r="N34" s="13">
        <f t="shared" si="4"/>
        <v>0.16177247444144061</v>
      </c>
      <c r="O34">
        <f t="shared" si="0"/>
        <v>25</v>
      </c>
      <c r="P34">
        <f t="shared" si="1"/>
        <v>5206</v>
      </c>
      <c r="Q34" t="str">
        <f>IF(AND(--$C34&gt;=--Campaign_Metadata_clean!$B$2,--$C34&lt;=--Campaign_Metadata_clean!$C$2),"SummerBeats",
IF(AND(--$C34&gt;=--Campaign_Metadata_clean!$B$3,--$C34&lt;=--Campaign_Metadata_clean!$C$3),"Wrapped2024",
IF(AND(--$C34&gt;=--Campaign_Metadata_clean!$B$4,--$C34&lt;=--Campaign_Metadata_clean!$C$4),"ChillVibes",
IF(AND(--$C34&gt;=--Campaign_Metadata_clean!$B$5,--$C34&lt;=--Campaign_Metadata_clean!$C$5),"IndieWave","No Campaign"))))</f>
        <v>No Campaign</v>
      </c>
      <c r="R34" t="str">
        <f t="shared" si="2"/>
        <v>Before</v>
      </c>
      <c r="S34" t="str">
        <f t="shared" si="3"/>
        <v/>
      </c>
      <c r="X34" s="47" t="str">
        <f>IFERROR(
_xlfn.XLOOKUP(Q34,
Campaign_Metadata_clean!A:A,
Campaign_Metadata_clean!B:B),
"")</f>
        <v/>
      </c>
      <c r="Y34" s="47" t="str">
        <f>IFERROR(
_xlfn.XLOOKUP(Q34,
Campaign_Metadata_clean!A:A,
Campaign_Metadata_clean!C:C),
"")</f>
        <v/>
      </c>
      <c r="Z34">
        <f t="shared" si="5"/>
        <v>0</v>
      </c>
      <c r="AA34">
        <f t="shared" si="6"/>
        <v>0</v>
      </c>
      <c r="AB34">
        <f t="shared" si="7"/>
        <v>0</v>
      </c>
    </row>
    <row r="35" spans="1:28">
      <c r="A35" s="1" t="s">
        <v>74</v>
      </c>
      <c r="B35" s="1" t="s">
        <v>14</v>
      </c>
      <c r="C35" s="46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45</v>
      </c>
      <c r="M35" s="1" t="s">
        <v>42</v>
      </c>
      <c r="N35" s="13">
        <f t="shared" si="4"/>
        <v>4.4299315445747112E-2</v>
      </c>
      <c r="O35">
        <f t="shared" si="0"/>
        <v>268</v>
      </c>
      <c r="P35">
        <f t="shared" si="1"/>
        <v>1689</v>
      </c>
      <c r="Q35" t="str">
        <f>IF(AND(--$C35&gt;=--Campaign_Metadata_clean!$B$2,--$C35&lt;=--Campaign_Metadata_clean!$C$2),"SummerBeats",
IF(AND(--$C35&gt;=--Campaign_Metadata_clean!$B$3,--$C35&lt;=--Campaign_Metadata_clean!$C$3),"Wrapped2024",
IF(AND(--$C35&gt;=--Campaign_Metadata_clean!$B$4,--$C35&lt;=--Campaign_Metadata_clean!$C$4),"ChillVibes",
IF(AND(--$C35&gt;=--Campaign_Metadata_clean!$B$5,--$C35&lt;=--Campaign_Metadata_clean!$C$5),"IndieWave","No Campaign"))))</f>
        <v>No Campaign</v>
      </c>
      <c r="R35" t="str">
        <f t="shared" si="2"/>
        <v>Before</v>
      </c>
      <c r="S35" t="str">
        <f t="shared" si="3"/>
        <v/>
      </c>
      <c r="X35" s="47" t="str">
        <f>IFERROR(
_xlfn.XLOOKUP(Q35,
Campaign_Metadata_clean!A:A,
Campaign_Metadata_clean!B:B),
"")</f>
        <v/>
      </c>
      <c r="Y35" s="47" t="str">
        <f>IFERROR(
_xlfn.XLOOKUP(Q35,
Campaign_Metadata_clean!A:A,
Campaign_Metadata_clean!C:C),
"")</f>
        <v/>
      </c>
      <c r="Z35">
        <f t="shared" si="5"/>
        <v>0</v>
      </c>
      <c r="AA35">
        <f t="shared" si="6"/>
        <v>0</v>
      </c>
      <c r="AB35">
        <f t="shared" si="7"/>
        <v>0</v>
      </c>
    </row>
    <row r="36" spans="1:28">
      <c r="A36" s="1" t="s">
        <v>75</v>
      </c>
      <c r="B36" s="1" t="s">
        <v>24</v>
      </c>
      <c r="C36" s="46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377</v>
      </c>
      <c r="M36" s="1" t="s">
        <v>42</v>
      </c>
      <c r="N36" s="13">
        <f t="shared" si="4"/>
        <v>9.7668038408779148E-2</v>
      </c>
      <c r="O36">
        <f t="shared" si="0"/>
        <v>116</v>
      </c>
      <c r="P36">
        <f t="shared" si="1"/>
        <v>3916</v>
      </c>
      <c r="Q36" t="str">
        <f>IF(AND(--$C36&gt;=--Campaign_Metadata_clean!$B$2,--$C36&lt;=--Campaign_Metadata_clean!$C$2),"SummerBeats",
IF(AND(--$C36&gt;=--Campaign_Metadata_clean!$B$3,--$C36&lt;=--Campaign_Metadata_clean!$C$3),"Wrapped2024",
IF(AND(--$C36&gt;=--Campaign_Metadata_clean!$B$4,--$C36&lt;=--Campaign_Metadata_clean!$C$4),"ChillVibes",
IF(AND(--$C36&gt;=--Campaign_Metadata_clean!$B$5,--$C36&lt;=--Campaign_Metadata_clean!$C$5),"IndieWave","No Campaign"))))</f>
        <v>No Campaign</v>
      </c>
      <c r="R36" t="str">
        <f t="shared" si="2"/>
        <v>Other</v>
      </c>
      <c r="S36" t="str">
        <f t="shared" si="3"/>
        <v/>
      </c>
      <c r="X36" s="47" t="str">
        <f>IFERROR(
_xlfn.XLOOKUP(Q36,
Campaign_Metadata_clean!A:A,
Campaign_Metadata_clean!B:B),
"")</f>
        <v/>
      </c>
      <c r="Y36" s="47" t="str">
        <f>IFERROR(
_xlfn.XLOOKUP(Q36,
Campaign_Metadata_clean!A:A,
Campaign_Metadata_clean!C:C),
"")</f>
        <v/>
      </c>
      <c r="Z36">
        <f t="shared" si="5"/>
        <v>0</v>
      </c>
      <c r="AA36">
        <f t="shared" si="6"/>
        <v>0</v>
      </c>
      <c r="AB36">
        <f t="shared" si="7"/>
        <v>0</v>
      </c>
    </row>
    <row r="37" spans="1:28">
      <c r="A37" s="1" t="s">
        <v>76</v>
      </c>
      <c r="B37" s="1" t="s">
        <v>14</v>
      </c>
      <c r="C37" s="46">
        <v>45416</v>
      </c>
      <c r="D37" s="1" t="s">
        <v>15</v>
      </c>
      <c r="E37" s="1" t="s">
        <v>376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/>
      <c r="N37" s="13">
        <f t="shared" si="4"/>
        <v>6.3600055728416843E-2</v>
      </c>
      <c r="O37">
        <f t="shared" si="0"/>
        <v>215</v>
      </c>
      <c r="P37">
        <f t="shared" si="1"/>
        <v>2739</v>
      </c>
      <c r="Q37" t="str">
        <f>IF(AND(--$C37&gt;=--Campaign_Metadata_clean!$B$2,--$C37&lt;=--Campaign_Metadata_clean!$C$2),"SummerBeats",
IF(AND(--$C37&gt;=--Campaign_Metadata_clean!$B$3,--$C37&lt;=--Campaign_Metadata_clean!$C$3),"Wrapped2024",
IF(AND(--$C37&gt;=--Campaign_Metadata_clean!$B$4,--$C37&lt;=--Campaign_Metadata_clean!$C$4),"ChillVibes",
IF(AND(--$C37&gt;=--Campaign_Metadata_clean!$B$5,--$C37&lt;=--Campaign_Metadata_clean!$C$5),"IndieWave","No Campaign"))))</f>
        <v>No Campaign</v>
      </c>
      <c r="R37" t="str">
        <f t="shared" si="2"/>
        <v>Before</v>
      </c>
      <c r="S37" t="str">
        <f t="shared" si="3"/>
        <v/>
      </c>
      <c r="X37" s="47" t="str">
        <f>IFERROR(
_xlfn.XLOOKUP(Q37,
Campaign_Metadata_clean!A:A,
Campaign_Metadata_clean!B:B),
"")</f>
        <v/>
      </c>
      <c r="Y37" s="47" t="str">
        <f>IFERROR(
_xlfn.XLOOKUP(Q37,
Campaign_Metadata_clean!A:A,
Campaign_Metadata_clean!C:C),
"")</f>
        <v/>
      </c>
      <c r="Z37">
        <f t="shared" si="5"/>
        <v>0</v>
      </c>
      <c r="AA37">
        <f t="shared" si="6"/>
        <v>0</v>
      </c>
      <c r="AB37">
        <f t="shared" si="7"/>
        <v>0</v>
      </c>
    </row>
    <row r="38" spans="1:28">
      <c r="A38" s="1" t="s">
        <v>77</v>
      </c>
      <c r="B38" s="1" t="s">
        <v>24</v>
      </c>
      <c r="C38" s="46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377</v>
      </c>
      <c r="M38" s="1" t="s">
        <v>42</v>
      </c>
      <c r="N38" s="13">
        <f t="shared" si="4"/>
        <v>0.10772626931567329</v>
      </c>
      <c r="O38">
        <f t="shared" si="0"/>
        <v>89</v>
      </c>
      <c r="P38">
        <f t="shared" si="1"/>
        <v>4880</v>
      </c>
      <c r="Q38" t="str">
        <f>IF(AND(--$C38&gt;=--Campaign_Metadata_clean!$B$2,--$C38&lt;=--Campaign_Metadata_clean!$C$2),"SummerBeats",
IF(AND(--$C38&gt;=--Campaign_Metadata_clean!$B$3,--$C38&lt;=--Campaign_Metadata_clean!$C$3),"Wrapped2024",
IF(AND(--$C38&gt;=--Campaign_Metadata_clean!$B$4,--$C38&lt;=--Campaign_Metadata_clean!$C$4),"ChillVibes",
IF(AND(--$C38&gt;=--Campaign_Metadata_clean!$B$5,--$C38&lt;=--Campaign_Metadata_clean!$C$5),"IndieWave","No Campaign"))))</f>
        <v>No Campaign</v>
      </c>
      <c r="R38" t="str">
        <f t="shared" si="2"/>
        <v>Other</v>
      </c>
      <c r="S38" t="str">
        <f t="shared" si="3"/>
        <v/>
      </c>
      <c r="X38" s="47" t="str">
        <f>IFERROR(
_xlfn.XLOOKUP(Q38,
Campaign_Metadata_clean!A:A,
Campaign_Metadata_clean!B:B),
"")</f>
        <v/>
      </c>
      <c r="Y38" s="47" t="str">
        <f>IFERROR(
_xlfn.XLOOKUP(Q38,
Campaign_Metadata_clean!A:A,
Campaign_Metadata_clean!C:C),
"")</f>
        <v/>
      </c>
      <c r="Z38">
        <f t="shared" si="5"/>
        <v>0</v>
      </c>
      <c r="AA38">
        <f t="shared" si="6"/>
        <v>0</v>
      </c>
      <c r="AB38">
        <f t="shared" si="7"/>
        <v>0</v>
      </c>
    </row>
    <row r="39" spans="1:28">
      <c r="A39" s="1" t="s">
        <v>78</v>
      </c>
      <c r="B39" s="1" t="s">
        <v>14</v>
      </c>
      <c r="C39" s="46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/>
      <c r="N39" s="13">
        <f t="shared" si="4"/>
        <v>3.9122543637545096E-2</v>
      </c>
      <c r="O39">
        <f t="shared" si="0"/>
        <v>280</v>
      </c>
      <c r="P39">
        <f t="shared" si="1"/>
        <v>1746</v>
      </c>
      <c r="Q39" t="str">
        <f>IF(AND(--$C39&gt;=--Campaign_Metadata_clean!$B$2,--$C39&lt;=--Campaign_Metadata_clean!$C$2),"SummerBeats",
IF(AND(--$C39&gt;=--Campaign_Metadata_clean!$B$3,--$C39&lt;=--Campaign_Metadata_clean!$C$3),"Wrapped2024",
IF(AND(--$C39&gt;=--Campaign_Metadata_clean!$B$4,--$C39&lt;=--Campaign_Metadata_clean!$C$4),"ChillVibes",
IF(AND(--$C39&gt;=--Campaign_Metadata_clean!$B$5,--$C39&lt;=--Campaign_Metadata_clean!$C$5),"IndieWave","No Campaign"))))</f>
        <v>No Campaign</v>
      </c>
      <c r="R39" t="str">
        <f t="shared" si="2"/>
        <v>Before</v>
      </c>
      <c r="S39" t="str">
        <f t="shared" si="3"/>
        <v/>
      </c>
      <c r="X39" s="47" t="str">
        <f>IFERROR(
_xlfn.XLOOKUP(Q39,
Campaign_Metadata_clean!A:A,
Campaign_Metadata_clean!B:B),
"")</f>
        <v/>
      </c>
      <c r="Y39" s="47" t="str">
        <f>IFERROR(
_xlfn.XLOOKUP(Q39,
Campaign_Metadata_clean!A:A,
Campaign_Metadata_clean!C:C),
"")</f>
        <v/>
      </c>
      <c r="Z39">
        <f t="shared" si="5"/>
        <v>0</v>
      </c>
      <c r="AA39">
        <f t="shared" si="6"/>
        <v>0</v>
      </c>
      <c r="AB39">
        <f t="shared" si="7"/>
        <v>0</v>
      </c>
    </row>
    <row r="40" spans="1:28">
      <c r="A40" s="1" t="s">
        <v>79</v>
      </c>
      <c r="B40" s="1" t="s">
        <v>14</v>
      </c>
      <c r="C40" s="46">
        <v>45621</v>
      </c>
      <c r="D40" s="1" t="s">
        <v>15</v>
      </c>
      <c r="E40" s="1" t="s">
        <v>374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/>
      <c r="N40" s="13">
        <f t="shared" si="4"/>
        <v>3.9913595142645857E-2</v>
      </c>
      <c r="O40">
        <f t="shared" si="0"/>
        <v>277</v>
      </c>
      <c r="P40">
        <f t="shared" si="1"/>
        <v>2051</v>
      </c>
      <c r="Q40" t="str">
        <f>IF(AND(--$C40&gt;=--Campaign_Metadata_clean!$B$2,--$C40&lt;=--Campaign_Metadata_clean!$C$2),"SummerBeats",
IF(AND(--$C40&gt;=--Campaign_Metadata_clean!$B$3,--$C40&lt;=--Campaign_Metadata_clean!$C$3),"Wrapped2024",
IF(AND(--$C40&gt;=--Campaign_Metadata_clean!$B$4,--$C40&lt;=--Campaign_Metadata_clean!$C$4),"ChillVibes",
IF(AND(--$C40&gt;=--Campaign_Metadata_clean!$B$5,--$C40&lt;=--Campaign_Metadata_clean!$C$5),"IndieWave","No Campaign"))))</f>
        <v>No Campaign</v>
      </c>
      <c r="R40" t="str">
        <f t="shared" si="2"/>
        <v>Before</v>
      </c>
      <c r="S40" t="str">
        <f t="shared" si="3"/>
        <v/>
      </c>
      <c r="X40" s="47" t="str">
        <f>IFERROR(
_xlfn.XLOOKUP(Q40,
Campaign_Metadata_clean!A:A,
Campaign_Metadata_clean!B:B),
"")</f>
        <v/>
      </c>
      <c r="Y40" s="47" t="str">
        <f>IFERROR(
_xlfn.XLOOKUP(Q40,
Campaign_Metadata_clean!A:A,
Campaign_Metadata_clean!C:C),
"")</f>
        <v/>
      </c>
      <c r="Z40">
        <f t="shared" si="5"/>
        <v>0</v>
      </c>
      <c r="AA40">
        <f t="shared" si="6"/>
        <v>0</v>
      </c>
      <c r="AB40">
        <f t="shared" si="7"/>
        <v>0</v>
      </c>
    </row>
    <row r="41" spans="1:28">
      <c r="A41" s="1" t="s">
        <v>80</v>
      </c>
      <c r="B41" s="1" t="s">
        <v>24</v>
      </c>
      <c r="C41" s="46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/>
      <c r="N41" s="13">
        <f t="shared" si="4"/>
        <v>0.14436927106067218</v>
      </c>
      <c r="O41">
        <f t="shared" si="0"/>
        <v>42</v>
      </c>
      <c r="P41">
        <f t="shared" si="1"/>
        <v>3969</v>
      </c>
      <c r="Q41" t="str">
        <f>IF(AND(--$C41&gt;=--Campaign_Metadata_clean!$B$2,--$C41&lt;=--Campaign_Metadata_clean!$C$2),"SummerBeats",
IF(AND(--$C41&gt;=--Campaign_Metadata_clean!$B$3,--$C41&lt;=--Campaign_Metadata_clean!$C$3),"Wrapped2024",
IF(AND(--$C41&gt;=--Campaign_Metadata_clean!$B$4,--$C41&lt;=--Campaign_Metadata_clean!$C$4),"ChillVibes",
IF(AND(--$C41&gt;=--Campaign_Metadata_clean!$B$5,--$C41&lt;=--Campaign_Metadata_clean!$C$5),"IndieWave","No Campaign"))))</f>
        <v>No Campaign</v>
      </c>
      <c r="R41" t="str">
        <f t="shared" si="2"/>
        <v>Other</v>
      </c>
      <c r="S41" t="str">
        <f t="shared" si="3"/>
        <v/>
      </c>
      <c r="X41" s="47" t="str">
        <f>IFERROR(
_xlfn.XLOOKUP(Q41,
Campaign_Metadata_clean!A:A,
Campaign_Metadata_clean!B:B),
"")</f>
        <v/>
      </c>
      <c r="Y41" s="47" t="str">
        <f>IFERROR(
_xlfn.XLOOKUP(Q41,
Campaign_Metadata_clean!A:A,
Campaign_Metadata_clean!C:C),
"")</f>
        <v/>
      </c>
      <c r="Z41">
        <f t="shared" si="5"/>
        <v>0</v>
      </c>
      <c r="AA41">
        <f t="shared" si="6"/>
        <v>0</v>
      </c>
      <c r="AB41">
        <f t="shared" si="7"/>
        <v>0</v>
      </c>
    </row>
    <row r="42" spans="1:28">
      <c r="A42" s="1" t="s">
        <v>81</v>
      </c>
      <c r="B42" s="1" t="s">
        <v>14</v>
      </c>
      <c r="C42" s="46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45</v>
      </c>
      <c r="M42" s="1" t="s">
        <v>42</v>
      </c>
      <c r="N42" s="13">
        <f t="shared" si="4"/>
        <v>0.10863928268508422</v>
      </c>
      <c r="O42">
        <f t="shared" si="0"/>
        <v>87</v>
      </c>
      <c r="P42">
        <f t="shared" si="1"/>
        <v>4483</v>
      </c>
      <c r="Q42" t="str">
        <f>IF(AND(--$C42&gt;=--Campaign_Metadata_clean!$B$2,--$C42&lt;=--Campaign_Metadata_clean!$C$2),"SummerBeats",
IF(AND(--$C42&gt;=--Campaign_Metadata_clean!$B$3,--$C42&lt;=--Campaign_Metadata_clean!$C$3),"Wrapped2024",
IF(AND(--$C42&gt;=--Campaign_Metadata_clean!$B$4,--$C42&lt;=--Campaign_Metadata_clean!$C$4),"ChillVibes",
IF(AND(--$C42&gt;=--Campaign_Metadata_clean!$B$5,--$C42&lt;=--Campaign_Metadata_clean!$C$5),"IndieWave","No Campaign"))))</f>
        <v>No Campaign</v>
      </c>
      <c r="R42" t="str">
        <f t="shared" si="2"/>
        <v>Before</v>
      </c>
      <c r="S42" t="str">
        <f t="shared" si="3"/>
        <v/>
      </c>
      <c r="X42" s="47" t="str">
        <f>IFERROR(
_xlfn.XLOOKUP(Q42,
Campaign_Metadata_clean!A:A,
Campaign_Metadata_clean!B:B),
"")</f>
        <v/>
      </c>
      <c r="Y42" s="47" t="str">
        <f>IFERROR(
_xlfn.XLOOKUP(Q42,
Campaign_Metadata_clean!A:A,
Campaign_Metadata_clean!C:C),
"")</f>
        <v/>
      </c>
      <c r="Z42">
        <f t="shared" si="5"/>
        <v>0</v>
      </c>
      <c r="AA42">
        <f t="shared" si="6"/>
        <v>0</v>
      </c>
      <c r="AB42">
        <f t="shared" si="7"/>
        <v>0</v>
      </c>
    </row>
    <row r="43" spans="1:28">
      <c r="A43" s="1" t="s">
        <v>82</v>
      </c>
      <c r="B43" s="1" t="s">
        <v>14</v>
      </c>
      <c r="C43" s="46">
        <v>45683</v>
      </c>
      <c r="D43" s="1" t="s">
        <v>25</v>
      </c>
      <c r="E43" s="1" t="s">
        <v>373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/>
      <c r="N43" s="13">
        <f t="shared" si="4"/>
        <v>9.379528682585335E-2</v>
      </c>
      <c r="O43">
        <f t="shared" si="0"/>
        <v>128</v>
      </c>
      <c r="P43">
        <f t="shared" si="1"/>
        <v>4207</v>
      </c>
      <c r="Q43" t="str">
        <f>IF(AND(--$C43&gt;=--Campaign_Metadata_clean!$B$2,--$C43&lt;=--Campaign_Metadata_clean!$C$2),"SummerBeats",
IF(AND(--$C43&gt;=--Campaign_Metadata_clean!$B$3,--$C43&lt;=--Campaign_Metadata_clean!$C$3),"Wrapped2024",
IF(AND(--$C43&gt;=--Campaign_Metadata_clean!$B$4,--$C43&lt;=--Campaign_Metadata_clean!$C$4),"ChillVibes",
IF(AND(--$C43&gt;=--Campaign_Metadata_clean!$B$5,--$C43&lt;=--Campaign_Metadata_clean!$C$5),"IndieWave","No Campaign"))))</f>
        <v>ChillVibes</v>
      </c>
      <c r="R43" t="str">
        <f t="shared" si="2"/>
        <v>During</v>
      </c>
      <c r="S43" t="str">
        <f t="shared" si="3"/>
        <v>During</v>
      </c>
      <c r="X43" s="47">
        <f>IFERROR(
_xlfn.XLOOKUP(Q43,
Campaign_Metadata_clean!A:A,
Campaign_Metadata_clean!B:B),
"")</f>
        <v>45667</v>
      </c>
      <c r="Y43" s="47">
        <f>IFERROR(
_xlfn.XLOOKUP(Q43,
Campaign_Metadata_clean!A:A,
Campaign_Metadata_clean!C:C),
"")</f>
        <v>45698</v>
      </c>
      <c r="Z43">
        <f t="shared" si="5"/>
        <v>0.10086311618757582</v>
      </c>
      <c r="AA43">
        <f t="shared" si="6"/>
        <v>0.10541160412718438</v>
      </c>
      <c r="AB43">
        <f t="shared" ca="1" si="7"/>
        <v>0</v>
      </c>
    </row>
    <row r="44" spans="1:28">
      <c r="A44" s="1" t="s">
        <v>83</v>
      </c>
      <c r="B44" s="1" t="s">
        <v>14</v>
      </c>
      <c r="C44" s="46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45</v>
      </c>
      <c r="M44" s="1" t="s">
        <v>42</v>
      </c>
      <c r="N44" s="13">
        <f t="shared" si="4"/>
        <v>0.11750707750379519</v>
      </c>
      <c r="O44">
        <f t="shared" si="0"/>
        <v>66</v>
      </c>
      <c r="P44">
        <f t="shared" si="1"/>
        <v>5728</v>
      </c>
      <c r="Q44" t="str">
        <f>IF(AND(--$C44&gt;=--Campaign_Metadata_clean!$B$2,--$C44&lt;=--Campaign_Metadata_clean!$C$2),"SummerBeats",
IF(AND(--$C44&gt;=--Campaign_Metadata_clean!$B$3,--$C44&lt;=--Campaign_Metadata_clean!$C$3),"Wrapped2024",
IF(AND(--$C44&gt;=--Campaign_Metadata_clean!$B$4,--$C44&lt;=--Campaign_Metadata_clean!$C$4),"ChillVibes",
IF(AND(--$C44&gt;=--Campaign_Metadata_clean!$B$5,--$C44&lt;=--Campaign_Metadata_clean!$C$5),"IndieWave","No Campaign"))))</f>
        <v>No Campaign</v>
      </c>
      <c r="R44" t="str">
        <f t="shared" si="2"/>
        <v>Other</v>
      </c>
      <c r="S44" t="str">
        <f t="shared" si="3"/>
        <v/>
      </c>
      <c r="X44" s="47" t="str">
        <f>IFERROR(
_xlfn.XLOOKUP(Q44,
Campaign_Metadata_clean!A:A,
Campaign_Metadata_clean!B:B),
"")</f>
        <v/>
      </c>
      <c r="Y44" s="47" t="str">
        <f>IFERROR(
_xlfn.XLOOKUP(Q44,
Campaign_Metadata_clean!A:A,
Campaign_Metadata_clean!C:C),
"")</f>
        <v/>
      </c>
      <c r="Z44">
        <f t="shared" si="5"/>
        <v>0</v>
      </c>
      <c r="AA44">
        <f t="shared" si="6"/>
        <v>0</v>
      </c>
      <c r="AB44">
        <f t="shared" si="7"/>
        <v>0</v>
      </c>
    </row>
    <row r="45" spans="1:28">
      <c r="A45" s="1" t="s">
        <v>84</v>
      </c>
      <c r="B45" s="1" t="s">
        <v>14</v>
      </c>
      <c r="C45" s="46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/>
      <c r="N45" s="13">
        <f t="shared" si="4"/>
        <v>3.9937155714174881E-2</v>
      </c>
      <c r="O45">
        <f t="shared" si="0"/>
        <v>276</v>
      </c>
      <c r="P45">
        <f t="shared" si="1"/>
        <v>2059</v>
      </c>
      <c r="Q45" t="str">
        <f>IF(AND(--$C45&gt;=--Campaign_Metadata_clean!$B$2,--$C45&lt;=--Campaign_Metadata_clean!$C$2),"SummerBeats",
IF(AND(--$C45&gt;=--Campaign_Metadata_clean!$B$3,--$C45&lt;=--Campaign_Metadata_clean!$C$3),"Wrapped2024",
IF(AND(--$C45&gt;=--Campaign_Metadata_clean!$B$4,--$C45&lt;=--Campaign_Metadata_clean!$C$4),"ChillVibes",
IF(AND(--$C45&gt;=--Campaign_Metadata_clean!$B$5,--$C45&lt;=--Campaign_Metadata_clean!$C$5),"IndieWave","No Campaign"))))</f>
        <v>No Campaign</v>
      </c>
      <c r="R45" t="str">
        <f t="shared" si="2"/>
        <v>Before</v>
      </c>
      <c r="S45" t="str">
        <f t="shared" si="3"/>
        <v/>
      </c>
      <c r="X45" s="47" t="str">
        <f>IFERROR(
_xlfn.XLOOKUP(Q45,
Campaign_Metadata_clean!A:A,
Campaign_Metadata_clean!B:B),
"")</f>
        <v/>
      </c>
      <c r="Y45" s="47" t="str">
        <f>IFERROR(
_xlfn.XLOOKUP(Q45,
Campaign_Metadata_clean!A:A,
Campaign_Metadata_clean!C:C),
"")</f>
        <v/>
      </c>
      <c r="Z45">
        <f t="shared" si="5"/>
        <v>0</v>
      </c>
      <c r="AA45">
        <f t="shared" si="6"/>
        <v>0</v>
      </c>
      <c r="AB45">
        <f t="shared" si="7"/>
        <v>0</v>
      </c>
    </row>
    <row r="46" spans="1:28">
      <c r="A46" s="1" t="s">
        <v>85</v>
      </c>
      <c r="B46" s="1" t="s">
        <v>31</v>
      </c>
      <c r="C46" s="46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21</v>
      </c>
      <c r="M46" s="1" t="s">
        <v>378</v>
      </c>
      <c r="N46" s="13">
        <f t="shared" si="4"/>
        <v>0.11613367267898639</v>
      </c>
      <c r="O46">
        <f t="shared" si="0"/>
        <v>70</v>
      </c>
      <c r="P46">
        <f t="shared" si="1"/>
        <v>4198</v>
      </c>
      <c r="Q46" t="str">
        <f>IF(AND(--$C46&gt;=--Campaign_Metadata_clean!$B$2,--$C46&lt;=--Campaign_Metadata_clean!$C$2),"SummerBeats",
IF(AND(--$C46&gt;=--Campaign_Metadata_clean!$B$3,--$C46&lt;=--Campaign_Metadata_clean!$C$3),"Wrapped2024",
IF(AND(--$C46&gt;=--Campaign_Metadata_clean!$B$4,--$C46&lt;=--Campaign_Metadata_clean!$C$4),"ChillVibes",
IF(AND(--$C46&gt;=--Campaign_Metadata_clean!$B$5,--$C46&lt;=--Campaign_Metadata_clean!$C$5),"IndieWave","No Campaign"))))</f>
        <v>SummerBeats</v>
      </c>
      <c r="R46" t="str">
        <f t="shared" si="2"/>
        <v>Before</v>
      </c>
      <c r="S46" t="str">
        <f t="shared" si="3"/>
        <v>During</v>
      </c>
      <c r="X46" s="47">
        <f>IFERROR(
_xlfn.XLOOKUP(Q46,
Campaign_Metadata_clean!A:A,
Campaign_Metadata_clean!B:B),
"")</f>
        <v>45458</v>
      </c>
      <c r="Y46" s="47">
        <f>IFERROR(
_xlfn.XLOOKUP(Q46,
Campaign_Metadata_clean!A:A,
Campaign_Metadata_clean!C:C),
"")</f>
        <v>45488</v>
      </c>
      <c r="Z46">
        <f t="shared" si="5"/>
        <v>7.7477551774674469E-2</v>
      </c>
      <c r="AA46">
        <f t="shared" si="6"/>
        <v>9.67495057607137E-2</v>
      </c>
      <c r="AB46">
        <f t="shared" ca="1" si="7"/>
        <v>0</v>
      </c>
    </row>
    <row r="47" spans="1:28">
      <c r="A47" s="1" t="s">
        <v>86</v>
      </c>
      <c r="B47" s="1" t="s">
        <v>14</v>
      </c>
      <c r="C47" s="46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/>
      <c r="N47" s="13">
        <f t="shared" si="4"/>
        <v>0.14600091693410577</v>
      </c>
      <c r="O47">
        <f t="shared" si="0"/>
        <v>40</v>
      </c>
      <c r="P47">
        <f t="shared" si="1"/>
        <v>3503</v>
      </c>
      <c r="Q47" t="str">
        <f>IF(AND(--$C47&gt;=--Campaign_Metadata_clean!$B$2,--$C47&lt;=--Campaign_Metadata_clean!$C$2),"SummerBeats",
IF(AND(--$C47&gt;=--Campaign_Metadata_clean!$B$3,--$C47&lt;=--Campaign_Metadata_clean!$C$3),"Wrapped2024",
IF(AND(--$C47&gt;=--Campaign_Metadata_clean!$B$4,--$C47&lt;=--Campaign_Metadata_clean!$C$4),"ChillVibes",
IF(AND(--$C47&gt;=--Campaign_Metadata_clean!$B$5,--$C47&lt;=--Campaign_Metadata_clean!$C$5),"IndieWave","No Campaign"))))</f>
        <v>No Campaign</v>
      </c>
      <c r="R47" t="str">
        <f t="shared" si="2"/>
        <v>Before</v>
      </c>
      <c r="S47" t="str">
        <f t="shared" si="3"/>
        <v/>
      </c>
      <c r="X47" s="47" t="str">
        <f>IFERROR(
_xlfn.XLOOKUP(Q47,
Campaign_Metadata_clean!A:A,
Campaign_Metadata_clean!B:B),
"")</f>
        <v/>
      </c>
      <c r="Y47" s="47" t="str">
        <f>IFERROR(
_xlfn.XLOOKUP(Q47,
Campaign_Metadata_clean!A:A,
Campaign_Metadata_clean!C:C),
"")</f>
        <v/>
      </c>
      <c r="Z47">
        <f t="shared" si="5"/>
        <v>0</v>
      </c>
      <c r="AA47">
        <f t="shared" si="6"/>
        <v>0</v>
      </c>
      <c r="AB47">
        <f t="shared" si="7"/>
        <v>0</v>
      </c>
    </row>
    <row r="48" spans="1:28">
      <c r="A48" s="1" t="s">
        <v>87</v>
      </c>
      <c r="B48" s="1" t="s">
        <v>31</v>
      </c>
      <c r="C48" s="46">
        <v>45365</v>
      </c>
      <c r="D48" s="1" t="s">
        <v>57</v>
      </c>
      <c r="E48" s="1" t="s">
        <v>374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21</v>
      </c>
      <c r="M48" s="1" t="s">
        <v>45</v>
      </c>
      <c r="N48" s="13">
        <f t="shared" si="4"/>
        <v>9.8072192379135503E-2</v>
      </c>
      <c r="O48">
        <f t="shared" si="0"/>
        <v>113</v>
      </c>
      <c r="P48">
        <f t="shared" si="1"/>
        <v>3907</v>
      </c>
      <c r="Q48" t="str">
        <f>IF(AND(--$C48&gt;=--Campaign_Metadata_clean!$B$2,--$C48&lt;=--Campaign_Metadata_clean!$C$2),"SummerBeats",
IF(AND(--$C48&gt;=--Campaign_Metadata_clean!$B$3,--$C48&lt;=--Campaign_Metadata_clean!$C$3),"Wrapped2024",
IF(AND(--$C48&gt;=--Campaign_Metadata_clean!$B$4,--$C48&lt;=--Campaign_Metadata_clean!$C$4),"ChillVibes",
IF(AND(--$C48&gt;=--Campaign_Metadata_clean!$B$5,--$C48&lt;=--Campaign_Metadata_clean!$C$5),"IndieWave","No Campaign"))))</f>
        <v>No Campaign</v>
      </c>
      <c r="R48" t="str">
        <f t="shared" si="2"/>
        <v>Before</v>
      </c>
      <c r="S48" t="str">
        <f t="shared" si="3"/>
        <v/>
      </c>
      <c r="X48" s="47" t="str">
        <f>IFERROR(
_xlfn.XLOOKUP(Q48,
Campaign_Metadata_clean!A:A,
Campaign_Metadata_clean!B:B),
"")</f>
        <v/>
      </c>
      <c r="Y48" s="47" t="str">
        <f>IFERROR(
_xlfn.XLOOKUP(Q48,
Campaign_Metadata_clean!A:A,
Campaign_Metadata_clean!C:C),
"")</f>
        <v/>
      </c>
      <c r="Z48">
        <f t="shared" si="5"/>
        <v>0</v>
      </c>
      <c r="AA48">
        <f t="shared" si="6"/>
        <v>0</v>
      </c>
      <c r="AB48">
        <f t="shared" si="7"/>
        <v>0</v>
      </c>
    </row>
    <row r="49" spans="1:28">
      <c r="A49" s="1" t="s">
        <v>88</v>
      </c>
      <c r="B49" s="1" t="s">
        <v>14</v>
      </c>
      <c r="C49" s="46">
        <v>45693</v>
      </c>
      <c r="D49" s="1" t="s">
        <v>25</v>
      </c>
      <c r="E49" s="1" t="s">
        <v>375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/>
      <c r="N49" s="13">
        <f t="shared" si="4"/>
        <v>0.15735977431131762</v>
      </c>
      <c r="O49">
        <f t="shared" si="0"/>
        <v>30</v>
      </c>
      <c r="P49">
        <f t="shared" si="1"/>
        <v>3793</v>
      </c>
      <c r="Q49" t="str">
        <f>IF(AND(--$C49&gt;=--Campaign_Metadata_clean!$B$2,--$C49&lt;=--Campaign_Metadata_clean!$C$2),"SummerBeats",
IF(AND(--$C49&gt;=--Campaign_Metadata_clean!$B$3,--$C49&lt;=--Campaign_Metadata_clean!$C$3),"Wrapped2024",
IF(AND(--$C49&gt;=--Campaign_Metadata_clean!$B$4,--$C49&lt;=--Campaign_Metadata_clean!$C$4),"ChillVibes",
IF(AND(--$C49&gt;=--Campaign_Metadata_clean!$B$5,--$C49&lt;=--Campaign_Metadata_clean!$C$5),"IndieWave","No Campaign"))))</f>
        <v>ChillVibes</v>
      </c>
      <c r="R49" t="str">
        <f t="shared" si="2"/>
        <v>During</v>
      </c>
      <c r="S49" t="str">
        <f t="shared" si="3"/>
        <v>During</v>
      </c>
      <c r="X49" s="47">
        <f>IFERROR(
_xlfn.XLOOKUP(Q49,
Campaign_Metadata_clean!A:A,
Campaign_Metadata_clean!B:B),
"")</f>
        <v>45667</v>
      </c>
      <c r="Y49" s="47">
        <f>IFERROR(
_xlfn.XLOOKUP(Q49,
Campaign_Metadata_clean!A:A,
Campaign_Metadata_clean!C:C),
"")</f>
        <v>45698</v>
      </c>
      <c r="Z49">
        <f t="shared" si="5"/>
        <v>0.10086311618757582</v>
      </c>
      <c r="AA49">
        <f t="shared" si="6"/>
        <v>0.10541160412718438</v>
      </c>
      <c r="AB49">
        <f t="shared" ca="1" si="7"/>
        <v>0</v>
      </c>
    </row>
    <row r="50" spans="1:28">
      <c r="A50" s="1" t="s">
        <v>89</v>
      </c>
      <c r="B50" s="1" t="s">
        <v>24</v>
      </c>
      <c r="C50" s="46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21</v>
      </c>
      <c r="M50" s="1" t="s">
        <v>377</v>
      </c>
      <c r="N50" s="13">
        <f t="shared" si="4"/>
        <v>0.1087862256289851</v>
      </c>
      <c r="O50">
        <f t="shared" si="0"/>
        <v>86</v>
      </c>
      <c r="P50">
        <f t="shared" si="1"/>
        <v>4726</v>
      </c>
      <c r="Q50" t="str">
        <f>IF(AND(--$C50&gt;=--Campaign_Metadata_clean!$B$2,--$C50&lt;=--Campaign_Metadata_clean!$C$2),"SummerBeats",
IF(AND(--$C50&gt;=--Campaign_Metadata_clean!$B$3,--$C50&lt;=--Campaign_Metadata_clean!$C$3),"Wrapped2024",
IF(AND(--$C50&gt;=--Campaign_Metadata_clean!$B$4,--$C50&lt;=--Campaign_Metadata_clean!$C$4),"ChillVibes",
IF(AND(--$C50&gt;=--Campaign_Metadata_clean!$B$5,--$C50&lt;=--Campaign_Metadata_clean!$C$5),"IndieWave","No Campaign"))))</f>
        <v>No Campaign</v>
      </c>
      <c r="R50" t="str">
        <f t="shared" si="2"/>
        <v>Before</v>
      </c>
      <c r="S50" t="str">
        <f t="shared" si="3"/>
        <v/>
      </c>
      <c r="X50" s="47" t="str">
        <f>IFERROR(
_xlfn.XLOOKUP(Q50,
Campaign_Metadata_clean!A:A,
Campaign_Metadata_clean!B:B),
"")</f>
        <v/>
      </c>
      <c r="Y50" s="47" t="str">
        <f>IFERROR(
_xlfn.XLOOKUP(Q50,
Campaign_Metadata_clean!A:A,
Campaign_Metadata_clean!C:C),
"")</f>
        <v/>
      </c>
      <c r="Z50">
        <f t="shared" si="5"/>
        <v>0</v>
      </c>
      <c r="AA50">
        <f t="shared" si="6"/>
        <v>0</v>
      </c>
      <c r="AB50">
        <f t="shared" si="7"/>
        <v>0</v>
      </c>
    </row>
    <row r="51" spans="1:28">
      <c r="A51" s="1" t="s">
        <v>90</v>
      </c>
      <c r="B51" s="1" t="s">
        <v>24</v>
      </c>
      <c r="C51" s="46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/>
      <c r="N51" s="13">
        <f t="shared" si="4"/>
        <v>0.20241060666934513</v>
      </c>
      <c r="O51">
        <f t="shared" si="0"/>
        <v>5</v>
      </c>
      <c r="P51">
        <f t="shared" si="1"/>
        <v>5038</v>
      </c>
      <c r="Q51" t="str">
        <f>IF(AND(--$C51&gt;=--Campaign_Metadata_clean!$B$2,--$C51&lt;=--Campaign_Metadata_clean!$C$2),"SummerBeats",
IF(AND(--$C51&gt;=--Campaign_Metadata_clean!$B$3,--$C51&lt;=--Campaign_Metadata_clean!$C$3),"Wrapped2024",
IF(AND(--$C51&gt;=--Campaign_Metadata_clean!$B$4,--$C51&lt;=--Campaign_Metadata_clean!$C$4),"ChillVibes",
IF(AND(--$C51&gt;=--Campaign_Metadata_clean!$B$5,--$C51&lt;=--Campaign_Metadata_clean!$C$5),"IndieWave","No Campaign"))))</f>
        <v>No Campaign</v>
      </c>
      <c r="R51" t="str">
        <f t="shared" si="2"/>
        <v>Other</v>
      </c>
      <c r="S51" t="str">
        <f t="shared" si="3"/>
        <v/>
      </c>
      <c r="X51" s="47" t="str">
        <f>IFERROR(
_xlfn.XLOOKUP(Q51,
Campaign_Metadata_clean!A:A,
Campaign_Metadata_clean!B:B),
"")</f>
        <v/>
      </c>
      <c r="Y51" s="47" t="str">
        <f>IFERROR(
_xlfn.XLOOKUP(Q51,
Campaign_Metadata_clean!A:A,
Campaign_Metadata_clean!C:C),
"")</f>
        <v/>
      </c>
      <c r="Z51">
        <f t="shared" si="5"/>
        <v>0</v>
      </c>
      <c r="AA51">
        <f t="shared" si="6"/>
        <v>0</v>
      </c>
      <c r="AB51">
        <f t="shared" si="7"/>
        <v>0</v>
      </c>
    </row>
    <row r="52" spans="1:28">
      <c r="A52" s="1" t="s">
        <v>91</v>
      </c>
      <c r="B52" s="1" t="s">
        <v>31</v>
      </c>
      <c r="C52" s="46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21</v>
      </c>
      <c r="M52" s="1" t="s">
        <v>45</v>
      </c>
      <c r="N52" s="13">
        <f t="shared" si="4"/>
        <v>0.10249760265016128</v>
      </c>
      <c r="O52">
        <f t="shared" si="0"/>
        <v>104</v>
      </c>
      <c r="P52">
        <f t="shared" si="1"/>
        <v>4703</v>
      </c>
      <c r="Q52" t="str">
        <f>IF(AND(--$C52&gt;=--Campaign_Metadata_clean!$B$2,--$C52&lt;=--Campaign_Metadata_clean!$C$2),"SummerBeats",
IF(AND(--$C52&gt;=--Campaign_Metadata_clean!$B$3,--$C52&lt;=--Campaign_Metadata_clean!$C$3),"Wrapped2024",
IF(AND(--$C52&gt;=--Campaign_Metadata_clean!$B$4,--$C52&lt;=--Campaign_Metadata_clean!$C$4),"ChillVibes",
IF(AND(--$C52&gt;=--Campaign_Metadata_clean!$B$5,--$C52&lt;=--Campaign_Metadata_clean!$C$5),"IndieWave","No Campaign"))))</f>
        <v>No Campaign</v>
      </c>
      <c r="R52" t="str">
        <f t="shared" si="2"/>
        <v>Before</v>
      </c>
      <c r="S52" t="str">
        <f t="shared" si="3"/>
        <v/>
      </c>
      <c r="X52" s="47" t="str">
        <f>IFERROR(
_xlfn.XLOOKUP(Q52,
Campaign_Metadata_clean!A:A,
Campaign_Metadata_clean!B:B),
"")</f>
        <v/>
      </c>
      <c r="Y52" s="47" t="str">
        <f>IFERROR(
_xlfn.XLOOKUP(Q52,
Campaign_Metadata_clean!A:A,
Campaign_Metadata_clean!C:C),
"")</f>
        <v/>
      </c>
      <c r="Z52">
        <f t="shared" si="5"/>
        <v>0</v>
      </c>
      <c r="AA52">
        <f t="shared" si="6"/>
        <v>0</v>
      </c>
      <c r="AB52">
        <f t="shared" si="7"/>
        <v>0</v>
      </c>
    </row>
    <row r="53" spans="1:28">
      <c r="A53" s="1" t="s">
        <v>92</v>
      </c>
      <c r="B53" s="1" t="s">
        <v>24</v>
      </c>
      <c r="C53" s="46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21</v>
      </c>
      <c r="M53" s="1" t="s">
        <v>377</v>
      </c>
      <c r="N53" s="13">
        <f t="shared" si="4"/>
        <v>0.15227535227535227</v>
      </c>
      <c r="O53">
        <f t="shared" si="0"/>
        <v>36</v>
      </c>
      <c r="P53">
        <f t="shared" si="1"/>
        <v>3296</v>
      </c>
      <c r="Q53" t="str">
        <f>IF(AND(--$C53&gt;=--Campaign_Metadata_clean!$B$2,--$C53&lt;=--Campaign_Metadata_clean!$C$2),"SummerBeats",
IF(AND(--$C53&gt;=--Campaign_Metadata_clean!$B$3,--$C53&lt;=--Campaign_Metadata_clean!$C$3),"Wrapped2024",
IF(AND(--$C53&gt;=--Campaign_Metadata_clean!$B$4,--$C53&lt;=--Campaign_Metadata_clean!$C$4),"ChillVibes",
IF(AND(--$C53&gt;=--Campaign_Metadata_clean!$B$5,--$C53&lt;=--Campaign_Metadata_clean!$C$5),"IndieWave","No Campaign"))))</f>
        <v>No Campaign</v>
      </c>
      <c r="R53" t="str">
        <f t="shared" si="2"/>
        <v>Before</v>
      </c>
      <c r="S53" t="str">
        <f t="shared" si="3"/>
        <v/>
      </c>
      <c r="X53" s="47" t="str">
        <f>IFERROR(
_xlfn.XLOOKUP(Q53,
Campaign_Metadata_clean!A:A,
Campaign_Metadata_clean!B:B),
"")</f>
        <v/>
      </c>
      <c r="Y53" s="47" t="str">
        <f>IFERROR(
_xlfn.XLOOKUP(Q53,
Campaign_Metadata_clean!A:A,
Campaign_Metadata_clean!C:C),
"")</f>
        <v/>
      </c>
      <c r="Z53">
        <f t="shared" si="5"/>
        <v>0</v>
      </c>
      <c r="AA53">
        <f t="shared" si="6"/>
        <v>0</v>
      </c>
      <c r="AB53">
        <f t="shared" si="7"/>
        <v>0</v>
      </c>
    </row>
    <row r="54" spans="1:28">
      <c r="A54" s="1" t="s">
        <v>93</v>
      </c>
      <c r="B54" s="1" t="s">
        <v>24</v>
      </c>
      <c r="C54" s="46">
        <v>45516</v>
      </c>
      <c r="D54" s="1" t="s">
        <v>25</v>
      </c>
      <c r="E54" s="1" t="s">
        <v>373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377</v>
      </c>
      <c r="M54" s="1" t="s">
        <v>42</v>
      </c>
      <c r="N54" s="13">
        <f t="shared" si="4"/>
        <v>5.8723551855705859E-2</v>
      </c>
      <c r="O54">
        <f t="shared" si="0"/>
        <v>228</v>
      </c>
      <c r="P54">
        <f t="shared" si="1"/>
        <v>3386</v>
      </c>
      <c r="Q54" t="str">
        <f>IF(AND(--$C54&gt;=--Campaign_Metadata_clean!$B$2,--$C54&lt;=--Campaign_Metadata_clean!$C$2),"SummerBeats",
IF(AND(--$C54&gt;=--Campaign_Metadata_clean!$B$3,--$C54&lt;=--Campaign_Metadata_clean!$C$3),"Wrapped2024",
IF(AND(--$C54&gt;=--Campaign_Metadata_clean!$B$4,--$C54&lt;=--Campaign_Metadata_clean!$C$4),"ChillVibes",
IF(AND(--$C54&gt;=--Campaign_Metadata_clean!$B$5,--$C54&lt;=--Campaign_Metadata_clean!$C$5),"IndieWave","No Campaign"))))</f>
        <v>No Campaign</v>
      </c>
      <c r="R54" t="str">
        <f t="shared" si="2"/>
        <v>Before</v>
      </c>
      <c r="S54" t="str">
        <f t="shared" si="3"/>
        <v/>
      </c>
      <c r="X54" s="47" t="str">
        <f>IFERROR(
_xlfn.XLOOKUP(Q54,
Campaign_Metadata_clean!A:A,
Campaign_Metadata_clean!B:B),
"")</f>
        <v/>
      </c>
      <c r="Y54" s="47" t="str">
        <f>IFERROR(
_xlfn.XLOOKUP(Q54,
Campaign_Metadata_clean!A:A,
Campaign_Metadata_clean!C:C),
"")</f>
        <v/>
      </c>
      <c r="Z54">
        <f t="shared" si="5"/>
        <v>0</v>
      </c>
      <c r="AA54">
        <f t="shared" si="6"/>
        <v>0</v>
      </c>
      <c r="AB54">
        <f t="shared" si="7"/>
        <v>0</v>
      </c>
    </row>
    <row r="55" spans="1:28">
      <c r="A55" s="1" t="s">
        <v>94</v>
      </c>
      <c r="B55" s="1" t="s">
        <v>14</v>
      </c>
      <c r="C55" s="46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/>
      <c r="N55" s="13">
        <f t="shared" si="4"/>
        <v>9.5101162290142052E-2</v>
      </c>
      <c r="O55">
        <f t="shared" si="0"/>
        <v>119</v>
      </c>
      <c r="P55">
        <f t="shared" si="1"/>
        <v>5523</v>
      </c>
      <c r="Q55" t="str">
        <f>IF(AND(--$C55&gt;=--Campaign_Metadata_clean!$B$2,--$C55&lt;=--Campaign_Metadata_clean!$C$2),"SummerBeats",
IF(AND(--$C55&gt;=--Campaign_Metadata_clean!$B$3,--$C55&lt;=--Campaign_Metadata_clean!$C$3),"Wrapped2024",
IF(AND(--$C55&gt;=--Campaign_Metadata_clean!$B$4,--$C55&lt;=--Campaign_Metadata_clean!$C$4),"ChillVibes",
IF(AND(--$C55&gt;=--Campaign_Metadata_clean!$B$5,--$C55&lt;=--Campaign_Metadata_clean!$C$5),"IndieWave","No Campaign"))))</f>
        <v>IndieWave</v>
      </c>
      <c r="R55" t="str">
        <f t="shared" si="2"/>
        <v>Other</v>
      </c>
      <c r="S55" t="str">
        <f t="shared" si="3"/>
        <v>During</v>
      </c>
      <c r="X55" s="47">
        <f>IFERROR(
_xlfn.XLOOKUP(Q55,
Campaign_Metadata_clean!A:A,
Campaign_Metadata_clean!B:B),
"")</f>
        <v>45717</v>
      </c>
      <c r="Y55" s="47">
        <f>IFERROR(
_xlfn.XLOOKUP(Q55,
Campaign_Metadata_clean!A:A,
Campaign_Metadata_clean!C:C),
"")</f>
        <v>45747</v>
      </c>
      <c r="Z55">
        <f t="shared" si="5"/>
        <v>0.11058335030833821</v>
      </c>
      <c r="AA55">
        <f t="shared" si="6"/>
        <v>0.10264545756473814</v>
      </c>
      <c r="AB55">
        <f t="shared" ca="1" si="7"/>
        <v>0</v>
      </c>
    </row>
    <row r="56" spans="1:28">
      <c r="A56" s="1" t="s">
        <v>95</v>
      </c>
      <c r="B56" s="1" t="s">
        <v>24</v>
      </c>
      <c r="C56" s="46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/>
      <c r="N56" s="13">
        <f t="shared" si="4"/>
        <v>4.781732706514439E-2</v>
      </c>
      <c r="O56">
        <f t="shared" si="0"/>
        <v>259</v>
      </c>
      <c r="P56">
        <f t="shared" si="1"/>
        <v>2492</v>
      </c>
      <c r="Q56" t="str">
        <f>IF(AND(--$C56&gt;=--Campaign_Metadata_clean!$B$2,--$C56&lt;=--Campaign_Metadata_clean!$C$2),"SummerBeats",
IF(AND(--$C56&gt;=--Campaign_Metadata_clean!$B$3,--$C56&lt;=--Campaign_Metadata_clean!$C$3),"Wrapped2024",
IF(AND(--$C56&gt;=--Campaign_Metadata_clean!$B$4,--$C56&lt;=--Campaign_Metadata_clean!$C$4),"ChillVibes",
IF(AND(--$C56&gt;=--Campaign_Metadata_clean!$B$5,--$C56&lt;=--Campaign_Metadata_clean!$C$5),"IndieWave","No Campaign"))))</f>
        <v>No Campaign</v>
      </c>
      <c r="R56" t="str">
        <f t="shared" si="2"/>
        <v>Before</v>
      </c>
      <c r="S56" t="str">
        <f t="shared" si="3"/>
        <v/>
      </c>
      <c r="X56" s="47" t="str">
        <f>IFERROR(
_xlfn.XLOOKUP(Q56,
Campaign_Metadata_clean!A:A,
Campaign_Metadata_clean!B:B),
"")</f>
        <v/>
      </c>
      <c r="Y56" s="47" t="str">
        <f>IFERROR(
_xlfn.XLOOKUP(Q56,
Campaign_Metadata_clean!A:A,
Campaign_Metadata_clean!C:C),
"")</f>
        <v/>
      </c>
      <c r="Z56">
        <f t="shared" si="5"/>
        <v>0</v>
      </c>
      <c r="AA56">
        <f t="shared" si="6"/>
        <v>0</v>
      </c>
      <c r="AB56">
        <f t="shared" si="7"/>
        <v>0</v>
      </c>
    </row>
    <row r="57" spans="1:28">
      <c r="A57" s="1" t="s">
        <v>96</v>
      </c>
      <c r="B57" s="1" t="s">
        <v>14</v>
      </c>
      <c r="C57" s="46">
        <v>45707</v>
      </c>
      <c r="D57" s="1" t="s">
        <v>25</v>
      </c>
      <c r="E57" s="1" t="s">
        <v>374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/>
      <c r="N57" s="13">
        <f t="shared" si="4"/>
        <v>0.13885094758408742</v>
      </c>
      <c r="O57">
        <f t="shared" si="0"/>
        <v>48</v>
      </c>
      <c r="P57">
        <f t="shared" si="1"/>
        <v>3253</v>
      </c>
      <c r="Q57" t="str">
        <f>IF(AND(--$C57&gt;=--Campaign_Metadata_clean!$B$2,--$C57&lt;=--Campaign_Metadata_clean!$C$2),"SummerBeats",
IF(AND(--$C57&gt;=--Campaign_Metadata_clean!$B$3,--$C57&lt;=--Campaign_Metadata_clean!$C$3),"Wrapped2024",
IF(AND(--$C57&gt;=--Campaign_Metadata_clean!$B$4,--$C57&lt;=--Campaign_Metadata_clean!$C$4),"ChillVibes",
IF(AND(--$C57&gt;=--Campaign_Metadata_clean!$B$5,--$C57&lt;=--Campaign_Metadata_clean!$C$5),"IndieWave","No Campaign"))))</f>
        <v>No Campaign</v>
      </c>
      <c r="R57" t="str">
        <f t="shared" si="2"/>
        <v>Other</v>
      </c>
      <c r="S57" t="str">
        <f t="shared" si="3"/>
        <v/>
      </c>
      <c r="X57" s="47" t="str">
        <f>IFERROR(
_xlfn.XLOOKUP(Q57,
Campaign_Metadata_clean!A:A,
Campaign_Metadata_clean!B:B),
"")</f>
        <v/>
      </c>
      <c r="Y57" s="47" t="str">
        <f>IFERROR(
_xlfn.XLOOKUP(Q57,
Campaign_Metadata_clean!A:A,
Campaign_Metadata_clean!C:C),
"")</f>
        <v/>
      </c>
      <c r="Z57">
        <f t="shared" si="5"/>
        <v>0</v>
      </c>
      <c r="AA57">
        <f t="shared" si="6"/>
        <v>0</v>
      </c>
      <c r="AB57">
        <f t="shared" si="7"/>
        <v>0</v>
      </c>
    </row>
    <row r="58" spans="1:28">
      <c r="A58" s="1" t="s">
        <v>97</v>
      </c>
      <c r="B58" s="1" t="s">
        <v>14</v>
      </c>
      <c r="C58" s="46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/>
      <c r="N58" s="13">
        <f t="shared" si="4"/>
        <v>0.10600966926007749</v>
      </c>
      <c r="O58">
        <f t="shared" si="0"/>
        <v>95</v>
      </c>
      <c r="P58">
        <f t="shared" si="1"/>
        <v>3311</v>
      </c>
      <c r="Q58" t="str">
        <f>IF(AND(--$C58&gt;=--Campaign_Metadata_clean!$B$2,--$C58&lt;=--Campaign_Metadata_clean!$C$2),"SummerBeats",
IF(AND(--$C58&gt;=--Campaign_Metadata_clean!$B$3,--$C58&lt;=--Campaign_Metadata_clean!$C$3),"Wrapped2024",
IF(AND(--$C58&gt;=--Campaign_Metadata_clean!$B$4,--$C58&lt;=--Campaign_Metadata_clean!$C$4),"ChillVibes",
IF(AND(--$C58&gt;=--Campaign_Metadata_clean!$B$5,--$C58&lt;=--Campaign_Metadata_clean!$C$5),"IndieWave","No Campaign"))))</f>
        <v>No Campaign</v>
      </c>
      <c r="R58" t="str">
        <f t="shared" si="2"/>
        <v>Before</v>
      </c>
      <c r="S58" t="str">
        <f t="shared" si="3"/>
        <v/>
      </c>
      <c r="X58" s="47" t="str">
        <f>IFERROR(
_xlfn.XLOOKUP(Q58,
Campaign_Metadata_clean!A:A,
Campaign_Metadata_clean!B:B),
"")</f>
        <v/>
      </c>
      <c r="Y58" s="47" t="str">
        <f>IFERROR(
_xlfn.XLOOKUP(Q58,
Campaign_Metadata_clean!A:A,
Campaign_Metadata_clean!C:C),
"")</f>
        <v/>
      </c>
      <c r="Z58">
        <f t="shared" si="5"/>
        <v>0</v>
      </c>
      <c r="AA58">
        <f t="shared" si="6"/>
        <v>0</v>
      </c>
      <c r="AB58">
        <f t="shared" si="7"/>
        <v>0</v>
      </c>
    </row>
    <row r="59" spans="1:28">
      <c r="A59" s="1" t="s">
        <v>98</v>
      </c>
      <c r="B59" s="1" t="s">
        <v>31</v>
      </c>
      <c r="C59" s="46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21</v>
      </c>
      <c r="M59" s="1" t="s">
        <v>378</v>
      </c>
      <c r="N59" s="13">
        <f t="shared" si="4"/>
        <v>8.8283323127168814E-2</v>
      </c>
      <c r="O59">
        <f t="shared" si="0"/>
        <v>141</v>
      </c>
      <c r="P59">
        <f t="shared" si="1"/>
        <v>3460</v>
      </c>
      <c r="Q59" t="str">
        <f>IF(AND(--$C59&gt;=--Campaign_Metadata_clean!$B$2,--$C59&lt;=--Campaign_Metadata_clean!$C$2),"SummerBeats",
IF(AND(--$C59&gt;=--Campaign_Metadata_clean!$B$3,--$C59&lt;=--Campaign_Metadata_clean!$C$3),"Wrapped2024",
IF(AND(--$C59&gt;=--Campaign_Metadata_clean!$B$4,--$C59&lt;=--Campaign_Metadata_clean!$C$4),"ChillVibes",
IF(AND(--$C59&gt;=--Campaign_Metadata_clean!$B$5,--$C59&lt;=--Campaign_Metadata_clean!$C$5),"IndieWave","No Campaign"))))</f>
        <v>No Campaign</v>
      </c>
      <c r="R59" t="str">
        <f t="shared" si="2"/>
        <v>Before</v>
      </c>
      <c r="S59" t="str">
        <f t="shared" si="3"/>
        <v/>
      </c>
      <c r="X59" s="47" t="str">
        <f>IFERROR(
_xlfn.XLOOKUP(Q59,
Campaign_Metadata_clean!A:A,
Campaign_Metadata_clean!B:B),
"")</f>
        <v/>
      </c>
      <c r="Y59" s="47" t="str">
        <f>IFERROR(
_xlfn.XLOOKUP(Q59,
Campaign_Metadata_clean!A:A,
Campaign_Metadata_clean!C:C),
"")</f>
        <v/>
      </c>
      <c r="Z59">
        <f t="shared" si="5"/>
        <v>0</v>
      </c>
      <c r="AA59">
        <f t="shared" si="6"/>
        <v>0</v>
      </c>
      <c r="AB59">
        <f t="shared" si="7"/>
        <v>0</v>
      </c>
    </row>
    <row r="60" spans="1:28">
      <c r="A60" s="1" t="s">
        <v>99</v>
      </c>
      <c r="B60" s="1" t="s">
        <v>31</v>
      </c>
      <c r="C60" s="46">
        <v>45514</v>
      </c>
      <c r="D60" s="1" t="s">
        <v>15</v>
      </c>
      <c r="E60" s="1" t="s">
        <v>374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21</v>
      </c>
      <c r="M60" s="1" t="s">
        <v>378</v>
      </c>
      <c r="N60" s="13">
        <f t="shared" si="4"/>
        <v>2.50275284149232E-2</v>
      </c>
      <c r="O60">
        <f t="shared" si="0"/>
        <v>300</v>
      </c>
      <c r="P60">
        <f t="shared" si="1"/>
        <v>1341</v>
      </c>
      <c r="Q60" t="str">
        <f>IF(AND(--$C60&gt;=--Campaign_Metadata_clean!$B$2,--$C60&lt;=--Campaign_Metadata_clean!$C$2),"SummerBeats",
IF(AND(--$C60&gt;=--Campaign_Metadata_clean!$B$3,--$C60&lt;=--Campaign_Metadata_clean!$C$3),"Wrapped2024",
IF(AND(--$C60&gt;=--Campaign_Metadata_clean!$B$4,--$C60&lt;=--Campaign_Metadata_clean!$C$4),"ChillVibes",
IF(AND(--$C60&gt;=--Campaign_Metadata_clean!$B$5,--$C60&lt;=--Campaign_Metadata_clean!$C$5),"IndieWave","No Campaign"))))</f>
        <v>No Campaign</v>
      </c>
      <c r="R60" t="str">
        <f t="shared" si="2"/>
        <v>Before</v>
      </c>
      <c r="S60" t="str">
        <f t="shared" si="3"/>
        <v/>
      </c>
      <c r="X60" s="47" t="str">
        <f>IFERROR(
_xlfn.XLOOKUP(Q60,
Campaign_Metadata_clean!A:A,
Campaign_Metadata_clean!B:B),
"")</f>
        <v/>
      </c>
      <c r="Y60" s="47" t="str">
        <f>IFERROR(
_xlfn.XLOOKUP(Q60,
Campaign_Metadata_clean!A:A,
Campaign_Metadata_clean!C:C),
"")</f>
        <v/>
      </c>
      <c r="Z60">
        <f t="shared" si="5"/>
        <v>0</v>
      </c>
      <c r="AA60">
        <f t="shared" si="6"/>
        <v>0</v>
      </c>
      <c r="AB60">
        <f t="shared" si="7"/>
        <v>0</v>
      </c>
    </row>
    <row r="61" spans="1:28">
      <c r="A61" s="1" t="s">
        <v>100</v>
      </c>
      <c r="B61" s="1" t="s">
        <v>31</v>
      </c>
      <c r="C61" s="46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21</v>
      </c>
      <c r="M61" s="1" t="s">
        <v>378</v>
      </c>
      <c r="N61" s="13">
        <f t="shared" si="4"/>
        <v>0.11124541239039185</v>
      </c>
      <c r="O61">
        <f t="shared" si="0"/>
        <v>79</v>
      </c>
      <c r="P61">
        <f t="shared" si="1"/>
        <v>5062</v>
      </c>
      <c r="Q61" t="str">
        <f>IF(AND(--$C61&gt;=--Campaign_Metadata_clean!$B$2,--$C61&lt;=--Campaign_Metadata_clean!$C$2),"SummerBeats",
IF(AND(--$C61&gt;=--Campaign_Metadata_clean!$B$3,--$C61&lt;=--Campaign_Metadata_clean!$C$3),"Wrapped2024",
IF(AND(--$C61&gt;=--Campaign_Metadata_clean!$B$4,--$C61&lt;=--Campaign_Metadata_clean!$C$4),"ChillVibes",
IF(AND(--$C61&gt;=--Campaign_Metadata_clean!$B$5,--$C61&lt;=--Campaign_Metadata_clean!$C$5),"IndieWave","No Campaign"))))</f>
        <v>No Campaign</v>
      </c>
      <c r="R61" t="str">
        <f t="shared" si="2"/>
        <v>Before</v>
      </c>
      <c r="S61" t="str">
        <f t="shared" si="3"/>
        <v/>
      </c>
      <c r="X61" s="47" t="str">
        <f>IFERROR(
_xlfn.XLOOKUP(Q61,
Campaign_Metadata_clean!A:A,
Campaign_Metadata_clean!B:B),
"")</f>
        <v/>
      </c>
      <c r="Y61" s="47" t="str">
        <f>IFERROR(
_xlfn.XLOOKUP(Q61,
Campaign_Metadata_clean!A:A,
Campaign_Metadata_clean!C:C),
"")</f>
        <v/>
      </c>
      <c r="Z61">
        <f t="shared" si="5"/>
        <v>0</v>
      </c>
      <c r="AA61">
        <f t="shared" si="6"/>
        <v>0</v>
      </c>
      <c r="AB61">
        <f t="shared" si="7"/>
        <v>0</v>
      </c>
    </row>
    <row r="62" spans="1:28">
      <c r="A62" s="1" t="s">
        <v>101</v>
      </c>
      <c r="B62" s="1" t="s">
        <v>31</v>
      </c>
      <c r="C62" s="46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21</v>
      </c>
      <c r="M62" s="1" t="s">
        <v>45</v>
      </c>
      <c r="N62" s="13">
        <f t="shared" si="4"/>
        <v>8.8087436599488311E-2</v>
      </c>
      <c r="O62">
        <f t="shared" si="0"/>
        <v>143</v>
      </c>
      <c r="P62">
        <f t="shared" si="1"/>
        <v>3925</v>
      </c>
      <c r="Q62" t="str">
        <f>IF(AND(--$C62&gt;=--Campaign_Metadata_clean!$B$2,--$C62&lt;=--Campaign_Metadata_clean!$C$2),"SummerBeats",
IF(AND(--$C62&gt;=--Campaign_Metadata_clean!$B$3,--$C62&lt;=--Campaign_Metadata_clean!$C$3),"Wrapped2024",
IF(AND(--$C62&gt;=--Campaign_Metadata_clean!$B$4,--$C62&lt;=--Campaign_Metadata_clean!$C$4),"ChillVibes",
IF(AND(--$C62&gt;=--Campaign_Metadata_clean!$B$5,--$C62&lt;=--Campaign_Metadata_clean!$C$5),"IndieWave","No Campaign"))))</f>
        <v>No Campaign</v>
      </c>
      <c r="R62" t="str">
        <f t="shared" si="2"/>
        <v>Before</v>
      </c>
      <c r="S62" t="str">
        <f t="shared" si="3"/>
        <v/>
      </c>
      <c r="X62" s="47" t="str">
        <f>IFERROR(
_xlfn.XLOOKUP(Q62,
Campaign_Metadata_clean!A:A,
Campaign_Metadata_clean!B:B),
"")</f>
        <v/>
      </c>
      <c r="Y62" s="47" t="str">
        <f>IFERROR(
_xlfn.XLOOKUP(Q62,
Campaign_Metadata_clean!A:A,
Campaign_Metadata_clean!C:C),
"")</f>
        <v/>
      </c>
      <c r="Z62">
        <f t="shared" si="5"/>
        <v>0</v>
      </c>
      <c r="AA62">
        <f t="shared" si="6"/>
        <v>0</v>
      </c>
      <c r="AB62">
        <f t="shared" si="7"/>
        <v>0</v>
      </c>
    </row>
    <row r="63" spans="1:28">
      <c r="A63" s="1" t="s">
        <v>102</v>
      </c>
      <c r="B63" s="1" t="s">
        <v>24</v>
      </c>
      <c r="C63" s="46">
        <v>45599</v>
      </c>
      <c r="D63" s="1" t="s">
        <v>25</v>
      </c>
      <c r="E63" s="1" t="s">
        <v>376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377</v>
      </c>
      <c r="M63" s="1" t="s">
        <v>42</v>
      </c>
      <c r="N63" s="13">
        <f t="shared" si="4"/>
        <v>4.3619068768968837E-2</v>
      </c>
      <c r="O63">
        <f t="shared" si="0"/>
        <v>270</v>
      </c>
      <c r="P63">
        <f t="shared" si="1"/>
        <v>2357</v>
      </c>
      <c r="Q63" t="str">
        <f>IF(AND(--$C63&gt;=--Campaign_Metadata_clean!$B$2,--$C63&lt;=--Campaign_Metadata_clean!$C$2),"SummerBeats",
IF(AND(--$C63&gt;=--Campaign_Metadata_clean!$B$3,--$C63&lt;=--Campaign_Metadata_clean!$C$3),"Wrapped2024",
IF(AND(--$C63&gt;=--Campaign_Metadata_clean!$B$4,--$C63&lt;=--Campaign_Metadata_clean!$C$4),"ChillVibes",
IF(AND(--$C63&gt;=--Campaign_Metadata_clean!$B$5,--$C63&lt;=--Campaign_Metadata_clean!$C$5),"IndieWave","No Campaign"))))</f>
        <v>No Campaign</v>
      </c>
      <c r="R63" t="str">
        <f t="shared" si="2"/>
        <v>Before</v>
      </c>
      <c r="S63" t="str">
        <f t="shared" si="3"/>
        <v/>
      </c>
      <c r="X63" s="47" t="str">
        <f>IFERROR(
_xlfn.XLOOKUP(Q63,
Campaign_Metadata_clean!A:A,
Campaign_Metadata_clean!B:B),
"")</f>
        <v/>
      </c>
      <c r="Y63" s="47" t="str">
        <f>IFERROR(
_xlfn.XLOOKUP(Q63,
Campaign_Metadata_clean!A:A,
Campaign_Metadata_clean!C:C),
"")</f>
        <v/>
      </c>
      <c r="Z63">
        <f t="shared" si="5"/>
        <v>0</v>
      </c>
      <c r="AA63">
        <f t="shared" si="6"/>
        <v>0</v>
      </c>
      <c r="AB63">
        <f t="shared" si="7"/>
        <v>0</v>
      </c>
    </row>
    <row r="64" spans="1:28">
      <c r="A64" s="1" t="s">
        <v>103</v>
      </c>
      <c r="B64" s="1" t="s">
        <v>24</v>
      </c>
      <c r="C64" s="46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/>
      <c r="N64" s="13">
        <f t="shared" si="4"/>
        <v>3.6351938233874857E-2</v>
      </c>
      <c r="O64">
        <f t="shared" si="0"/>
        <v>282</v>
      </c>
      <c r="P64">
        <f t="shared" si="1"/>
        <v>1356</v>
      </c>
      <c r="Q64" t="str">
        <f>IF(AND(--$C64&gt;=--Campaign_Metadata_clean!$B$2,--$C64&lt;=--Campaign_Metadata_clean!$C$2),"SummerBeats",
IF(AND(--$C64&gt;=--Campaign_Metadata_clean!$B$3,--$C64&lt;=--Campaign_Metadata_clean!$C$3),"Wrapped2024",
IF(AND(--$C64&gt;=--Campaign_Metadata_clean!$B$4,--$C64&lt;=--Campaign_Metadata_clean!$C$4),"ChillVibes",
IF(AND(--$C64&gt;=--Campaign_Metadata_clean!$B$5,--$C64&lt;=--Campaign_Metadata_clean!$C$5),"IndieWave","No Campaign"))))</f>
        <v>SummerBeats</v>
      </c>
      <c r="R64" t="str">
        <f t="shared" si="2"/>
        <v>Before</v>
      </c>
      <c r="S64" t="str">
        <f t="shared" si="3"/>
        <v>During</v>
      </c>
      <c r="X64" s="47">
        <f>IFERROR(
_xlfn.XLOOKUP(Q64,
Campaign_Metadata_clean!A:A,
Campaign_Metadata_clean!B:B),
"")</f>
        <v>45458</v>
      </c>
      <c r="Y64" s="47">
        <f>IFERROR(
_xlfn.XLOOKUP(Q64,
Campaign_Metadata_clean!A:A,
Campaign_Metadata_clean!C:C),
"")</f>
        <v>45488</v>
      </c>
      <c r="Z64">
        <f t="shared" si="5"/>
        <v>7.7477551774674469E-2</v>
      </c>
      <c r="AA64">
        <f t="shared" si="6"/>
        <v>9.67495057607137E-2</v>
      </c>
      <c r="AB64">
        <f t="shared" ca="1" si="7"/>
        <v>0</v>
      </c>
    </row>
    <row r="65" spans="1:28">
      <c r="A65" s="1" t="s">
        <v>104</v>
      </c>
      <c r="B65" s="1" t="s">
        <v>24</v>
      </c>
      <c r="C65" s="46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377</v>
      </c>
      <c r="M65" s="1" t="s">
        <v>42</v>
      </c>
      <c r="N65" s="13">
        <f t="shared" si="4"/>
        <v>9.2093661212893113E-2</v>
      </c>
      <c r="O65">
        <f t="shared" si="0"/>
        <v>135</v>
      </c>
      <c r="P65">
        <f t="shared" si="1"/>
        <v>4700</v>
      </c>
      <c r="Q65" t="str">
        <f>IF(AND(--$C65&gt;=--Campaign_Metadata_clean!$B$2,--$C65&lt;=--Campaign_Metadata_clean!$C$2),"SummerBeats",
IF(AND(--$C65&gt;=--Campaign_Metadata_clean!$B$3,--$C65&lt;=--Campaign_Metadata_clean!$C$3),"Wrapped2024",
IF(AND(--$C65&gt;=--Campaign_Metadata_clean!$B$4,--$C65&lt;=--Campaign_Metadata_clean!$C$4),"ChillVibes",
IF(AND(--$C65&gt;=--Campaign_Metadata_clean!$B$5,--$C65&lt;=--Campaign_Metadata_clean!$C$5),"IndieWave","No Campaign"))))</f>
        <v>ChillVibes</v>
      </c>
      <c r="R65" t="str">
        <f t="shared" si="2"/>
        <v>During</v>
      </c>
      <c r="S65" t="str">
        <f t="shared" si="3"/>
        <v>During</v>
      </c>
      <c r="X65" s="47">
        <f>IFERROR(
_xlfn.XLOOKUP(Q65,
Campaign_Metadata_clean!A:A,
Campaign_Metadata_clean!B:B),
"")</f>
        <v>45667</v>
      </c>
      <c r="Y65" s="47">
        <f>IFERROR(
_xlfn.XLOOKUP(Q65,
Campaign_Metadata_clean!A:A,
Campaign_Metadata_clean!C:C),
"")</f>
        <v>45698</v>
      </c>
      <c r="Z65">
        <f t="shared" si="5"/>
        <v>0.10086311618757582</v>
      </c>
      <c r="AA65">
        <f t="shared" si="6"/>
        <v>0.10541160412718438</v>
      </c>
      <c r="AB65">
        <f t="shared" ca="1" si="7"/>
        <v>0</v>
      </c>
    </row>
    <row r="66" spans="1:28">
      <c r="A66" s="1" t="s">
        <v>105</v>
      </c>
      <c r="B66" s="1" t="s">
        <v>31</v>
      </c>
      <c r="C66" s="46">
        <v>45438</v>
      </c>
      <c r="D66" s="1" t="s">
        <v>15</v>
      </c>
      <c r="E66" s="1" t="s">
        <v>374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21</v>
      </c>
      <c r="M66" s="1" t="s">
        <v>378</v>
      </c>
      <c r="N66" s="13">
        <f t="shared" si="4"/>
        <v>3.5777344113000653E-2</v>
      </c>
      <c r="O66">
        <f t="shared" ref="O66:O129" si="8">RANK(N66,$N:$N,0)</f>
        <v>285</v>
      </c>
      <c r="P66">
        <f t="shared" ref="P66:P129" si="9">F66+G66+H66</f>
        <v>1925</v>
      </c>
      <c r="Q66" t="str">
        <f>IF(AND(--$C66&gt;=--Campaign_Metadata_clean!$B$2,--$C66&lt;=--Campaign_Metadata_clean!$C$2),"SummerBeats",
IF(AND(--$C66&gt;=--Campaign_Metadata_clean!$B$3,--$C66&lt;=--Campaign_Metadata_clean!$C$3),"Wrapped2024",
IF(AND(--$C66&gt;=--Campaign_Metadata_clean!$B$4,--$C66&lt;=--Campaign_Metadata_clean!$C$4),"ChillVibes",
IF(AND(--$C66&gt;=--Campaign_Metadata_clean!$B$5,--$C66&lt;=--Campaign_Metadata_clean!$C$5),"IndieWave","No Campaign"))))</f>
        <v>No Campaign</v>
      </c>
      <c r="R66" t="str">
        <f t="shared" ref="R66:R129" si="10">IF(AND(C66&gt;=DATE(2025,1,10), C66&lt;=DATE(2025,2,10)),
"During",
IF(C66&lt;DATE(2025,1,10),
"Before",
"Other"))</f>
        <v>Before</v>
      </c>
      <c r="S66" t="str">
        <f t="shared" ref="S66:S129" si="11">IF(OR(X66="",Y66=""),"",
IF(AND(C66&gt;=X66-30,C66&lt;X66),"Before",
IF(AND(C66&gt;=X66,C66&lt;=Y66),"During","Other")))</f>
        <v/>
      </c>
      <c r="X66" s="47" t="str">
        <f>IFERROR(
_xlfn.XLOOKUP(Q66,
Campaign_Metadata_clean!A:A,
Campaign_Metadata_clean!B:B),
"")</f>
        <v/>
      </c>
      <c r="Y66" s="47" t="str">
        <f>IFERROR(
_xlfn.XLOOKUP(Q66,
Campaign_Metadata_clean!A:A,
Campaign_Metadata_clean!C:C),
"")</f>
        <v/>
      </c>
      <c r="Z66">
        <f t="shared" si="5"/>
        <v>0</v>
      </c>
      <c r="AA66">
        <f t="shared" si="6"/>
        <v>0</v>
      </c>
      <c r="AB66">
        <f t="shared" si="7"/>
        <v>0</v>
      </c>
    </row>
    <row r="67" spans="1:28">
      <c r="A67" s="1" t="s">
        <v>106</v>
      </c>
      <c r="B67" s="1" t="s">
        <v>14</v>
      </c>
      <c r="C67" s="46">
        <v>45763</v>
      </c>
      <c r="D67" s="1" t="s">
        <v>15</v>
      </c>
      <c r="E67" s="1" t="s">
        <v>376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45</v>
      </c>
      <c r="M67" s="1" t="s">
        <v>42</v>
      </c>
      <c r="N67" s="13">
        <f t="shared" ref="N67:N130" si="12">(F67+G67+H67)/I67</f>
        <v>9.0267383317458164E-2</v>
      </c>
      <c r="O67">
        <f t="shared" si="8"/>
        <v>138</v>
      </c>
      <c r="P67">
        <f t="shared" si="9"/>
        <v>5307</v>
      </c>
      <c r="Q67" t="str">
        <f>IF(AND(--$C67&gt;=--Campaign_Metadata_clean!$B$2,--$C67&lt;=--Campaign_Metadata_clean!$C$2),"SummerBeats",
IF(AND(--$C67&gt;=--Campaign_Metadata_clean!$B$3,--$C67&lt;=--Campaign_Metadata_clean!$C$3),"Wrapped2024",
IF(AND(--$C67&gt;=--Campaign_Metadata_clean!$B$4,--$C67&lt;=--Campaign_Metadata_clean!$C$4),"ChillVibes",
IF(AND(--$C67&gt;=--Campaign_Metadata_clean!$B$5,--$C67&lt;=--Campaign_Metadata_clean!$C$5),"IndieWave","No Campaign"))))</f>
        <v>No Campaign</v>
      </c>
      <c r="R67" t="str">
        <f t="shared" si="10"/>
        <v>Other</v>
      </c>
      <c r="S67" t="str">
        <f t="shared" si="11"/>
        <v/>
      </c>
      <c r="X67" s="47" t="str">
        <f>IFERROR(
_xlfn.XLOOKUP(Q67,
Campaign_Metadata_clean!A:A,
Campaign_Metadata_clean!B:B),
"")</f>
        <v/>
      </c>
      <c r="Y67" s="47" t="str">
        <f>IFERROR(
_xlfn.XLOOKUP(Q67,
Campaign_Metadata_clean!A:A,
Campaign_Metadata_clean!C:C),
"")</f>
        <v/>
      </c>
      <c r="Z67">
        <f t="shared" ref="Z67:Z130" si="13">IFERROR(
AVERAGEIFS(N:N,
C:C, "&gt;=" &amp; X67-30,
C:C, "&lt;" &amp; X67),
0)</f>
        <v>0</v>
      </c>
      <c r="AA67">
        <f t="shared" ref="AA67:AA130" si="14">IFERROR(
AVERAGEIFS(N:N,
C:C, "&gt;=" &amp; X67,
C:C, "&lt;=" &amp; Y67),
0)</f>
        <v>0</v>
      </c>
      <c r="AB67">
        <f t="shared" ref="AB67:AB130" si="15">IF(AA67=0,0,(AB67-AA67)/AA67)</f>
        <v>0</v>
      </c>
    </row>
    <row r="68" spans="1:28">
      <c r="A68" s="1" t="s">
        <v>107</v>
      </c>
      <c r="B68" s="1" t="s">
        <v>31</v>
      </c>
      <c r="C68" s="46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21</v>
      </c>
      <c r="M68" s="1" t="s">
        <v>45</v>
      </c>
      <c r="N68" s="13">
        <f t="shared" si="12"/>
        <v>0.17658969920637513</v>
      </c>
      <c r="O68">
        <f t="shared" si="8"/>
        <v>14</v>
      </c>
      <c r="P68">
        <f t="shared" si="9"/>
        <v>5407</v>
      </c>
      <c r="Q68" t="str">
        <f>IF(AND(--$C68&gt;=--Campaign_Metadata_clean!$B$2,--$C68&lt;=--Campaign_Metadata_clean!$C$2),"SummerBeats",
IF(AND(--$C68&gt;=--Campaign_Metadata_clean!$B$3,--$C68&lt;=--Campaign_Metadata_clean!$C$3),"Wrapped2024",
IF(AND(--$C68&gt;=--Campaign_Metadata_clean!$B$4,--$C68&lt;=--Campaign_Metadata_clean!$C$4),"ChillVibes",
IF(AND(--$C68&gt;=--Campaign_Metadata_clean!$B$5,--$C68&lt;=--Campaign_Metadata_clean!$C$5),"IndieWave","No Campaign"))))</f>
        <v>No Campaign</v>
      </c>
      <c r="R68" t="str">
        <f t="shared" si="10"/>
        <v>Before</v>
      </c>
      <c r="S68" t="str">
        <f t="shared" si="11"/>
        <v/>
      </c>
      <c r="X68" s="47" t="str">
        <f>IFERROR(
_xlfn.XLOOKUP(Q68,
Campaign_Metadata_clean!A:A,
Campaign_Metadata_clean!B:B),
"")</f>
        <v/>
      </c>
      <c r="Y68" s="47" t="str">
        <f>IFERROR(
_xlfn.XLOOKUP(Q68,
Campaign_Metadata_clean!A:A,
Campaign_Metadata_clean!C:C),
"")</f>
        <v/>
      </c>
      <c r="Z68">
        <f t="shared" si="13"/>
        <v>0</v>
      </c>
      <c r="AA68">
        <f t="shared" si="14"/>
        <v>0</v>
      </c>
      <c r="AB68">
        <f t="shared" si="15"/>
        <v>0</v>
      </c>
    </row>
    <row r="69" spans="1:28">
      <c r="A69" s="1" t="s">
        <v>108</v>
      </c>
      <c r="B69" s="1" t="s">
        <v>24</v>
      </c>
      <c r="C69" s="46">
        <v>45379</v>
      </c>
      <c r="D69" s="1" t="s">
        <v>15</v>
      </c>
      <c r="E69" s="1" t="s">
        <v>375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/>
      <c r="N69" s="13">
        <f t="shared" si="12"/>
        <v>0.18517978620019437</v>
      </c>
      <c r="O69">
        <f t="shared" si="8"/>
        <v>10</v>
      </c>
      <c r="P69">
        <f t="shared" si="9"/>
        <v>3811</v>
      </c>
      <c r="Q69" t="str">
        <f>IF(AND(--$C69&gt;=--Campaign_Metadata_clean!$B$2,--$C69&lt;=--Campaign_Metadata_clean!$C$2),"SummerBeats",
IF(AND(--$C69&gt;=--Campaign_Metadata_clean!$B$3,--$C69&lt;=--Campaign_Metadata_clean!$C$3),"Wrapped2024",
IF(AND(--$C69&gt;=--Campaign_Metadata_clean!$B$4,--$C69&lt;=--Campaign_Metadata_clean!$C$4),"ChillVibes",
IF(AND(--$C69&gt;=--Campaign_Metadata_clean!$B$5,--$C69&lt;=--Campaign_Metadata_clean!$C$5),"IndieWave","No Campaign"))))</f>
        <v>No Campaign</v>
      </c>
      <c r="R69" t="str">
        <f t="shared" si="10"/>
        <v>Before</v>
      </c>
      <c r="S69" t="str">
        <f t="shared" si="11"/>
        <v/>
      </c>
      <c r="X69" s="47" t="str">
        <f>IFERROR(
_xlfn.XLOOKUP(Q69,
Campaign_Metadata_clean!A:A,
Campaign_Metadata_clean!B:B),
"")</f>
        <v/>
      </c>
      <c r="Y69" s="47" t="str">
        <f>IFERROR(
_xlfn.XLOOKUP(Q69,
Campaign_Metadata_clean!A:A,
Campaign_Metadata_clean!C:C),
"")</f>
        <v/>
      </c>
      <c r="Z69">
        <f t="shared" si="13"/>
        <v>0</v>
      </c>
      <c r="AA69">
        <f t="shared" si="14"/>
        <v>0</v>
      </c>
      <c r="AB69">
        <f t="shared" si="15"/>
        <v>0</v>
      </c>
    </row>
    <row r="70" spans="1:28">
      <c r="A70" s="1" t="s">
        <v>109</v>
      </c>
      <c r="B70" s="1" t="s">
        <v>24</v>
      </c>
      <c r="C70" s="46">
        <v>45643</v>
      </c>
      <c r="D70" s="1" t="s">
        <v>25</v>
      </c>
      <c r="E70" s="1" t="s">
        <v>375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21</v>
      </c>
      <c r="M70" s="1" t="s">
        <v>377</v>
      </c>
      <c r="N70" s="13">
        <f t="shared" si="12"/>
        <v>4.6406515707509172E-2</v>
      </c>
      <c r="O70">
        <f t="shared" si="8"/>
        <v>263</v>
      </c>
      <c r="P70">
        <f t="shared" si="9"/>
        <v>2074</v>
      </c>
      <c r="Q70" t="str">
        <f>IF(AND(--$C70&gt;=--Campaign_Metadata_clean!$B$2,--$C70&lt;=--Campaign_Metadata_clean!$C$2),"SummerBeats",
IF(AND(--$C70&gt;=--Campaign_Metadata_clean!$B$3,--$C70&lt;=--Campaign_Metadata_clean!$C$3),"Wrapped2024",
IF(AND(--$C70&gt;=--Campaign_Metadata_clean!$B$4,--$C70&lt;=--Campaign_Metadata_clean!$C$4),"ChillVibes",
IF(AND(--$C70&gt;=--Campaign_Metadata_clean!$B$5,--$C70&lt;=--Campaign_Metadata_clean!$C$5),"IndieWave","No Campaign"))))</f>
        <v>Wrapped2024</v>
      </c>
      <c r="R70" t="str">
        <f t="shared" si="10"/>
        <v>Before</v>
      </c>
      <c r="S70" t="str">
        <f t="shared" si="11"/>
        <v>During</v>
      </c>
      <c r="X70" s="47">
        <f>IFERROR(
_xlfn.XLOOKUP(Q70,
Campaign_Metadata_clean!A:A,
Campaign_Metadata_clean!B:B),
"")</f>
        <v>45627</v>
      </c>
      <c r="Y70" s="47">
        <f>IFERROR(
_xlfn.XLOOKUP(Q70,
Campaign_Metadata_clean!A:A,
Campaign_Metadata_clean!C:C),
"")</f>
        <v>45657</v>
      </c>
      <c r="Z70">
        <f t="shared" si="13"/>
        <v>9.2680818872661358E-2</v>
      </c>
      <c r="AA70">
        <f t="shared" si="14"/>
        <v>9.9294724623054248E-2</v>
      </c>
      <c r="AB70">
        <f t="shared" ca="1" si="15"/>
        <v>0</v>
      </c>
    </row>
    <row r="71" spans="1:28">
      <c r="A71" s="1" t="s">
        <v>110</v>
      </c>
      <c r="B71" s="1" t="s">
        <v>24</v>
      </c>
      <c r="C71" s="46">
        <v>45662</v>
      </c>
      <c r="D71" s="1" t="s">
        <v>15</v>
      </c>
      <c r="E71" s="1" t="s">
        <v>376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/>
      <c r="N71" s="13">
        <f t="shared" si="12"/>
        <v>0.10657378184897237</v>
      </c>
      <c r="O71">
        <f t="shared" si="8"/>
        <v>93</v>
      </c>
      <c r="P71">
        <f t="shared" si="9"/>
        <v>5538</v>
      </c>
      <c r="Q71" t="str">
        <f>IF(AND(--$C71&gt;=--Campaign_Metadata_clean!$B$2,--$C71&lt;=--Campaign_Metadata_clean!$C$2),"SummerBeats",
IF(AND(--$C71&gt;=--Campaign_Metadata_clean!$B$3,--$C71&lt;=--Campaign_Metadata_clean!$C$3),"Wrapped2024",
IF(AND(--$C71&gt;=--Campaign_Metadata_clean!$B$4,--$C71&lt;=--Campaign_Metadata_clean!$C$4),"ChillVibes",
IF(AND(--$C71&gt;=--Campaign_Metadata_clean!$B$5,--$C71&lt;=--Campaign_Metadata_clean!$C$5),"IndieWave","No Campaign"))))</f>
        <v>No Campaign</v>
      </c>
      <c r="R71" t="str">
        <f t="shared" si="10"/>
        <v>Before</v>
      </c>
      <c r="S71" t="str">
        <f t="shared" si="11"/>
        <v/>
      </c>
      <c r="X71" s="47" t="str">
        <f>IFERROR(
_xlfn.XLOOKUP(Q71,
Campaign_Metadata_clean!A:A,
Campaign_Metadata_clean!B:B),
"")</f>
        <v/>
      </c>
      <c r="Y71" s="47" t="str">
        <f>IFERROR(
_xlfn.XLOOKUP(Q71,
Campaign_Metadata_clean!A:A,
Campaign_Metadata_clean!C:C),
"")</f>
        <v/>
      </c>
      <c r="Z71">
        <f t="shared" si="13"/>
        <v>0</v>
      </c>
      <c r="AA71">
        <f t="shared" si="14"/>
        <v>0</v>
      </c>
      <c r="AB71">
        <f t="shared" si="15"/>
        <v>0</v>
      </c>
    </row>
    <row r="72" spans="1:28">
      <c r="A72" s="1" t="s">
        <v>111</v>
      </c>
      <c r="B72" s="1" t="s">
        <v>24</v>
      </c>
      <c r="C72" s="46">
        <v>45302</v>
      </c>
      <c r="D72" s="1" t="s">
        <v>15</v>
      </c>
      <c r="E72" s="1" t="s">
        <v>373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/>
      <c r="N72" s="13">
        <f t="shared" si="12"/>
        <v>0.1607525766064882</v>
      </c>
      <c r="O72">
        <f t="shared" si="8"/>
        <v>28</v>
      </c>
      <c r="P72">
        <f t="shared" si="9"/>
        <v>4648</v>
      </c>
      <c r="Q72" t="str">
        <f>IF(AND(--$C72&gt;=--Campaign_Metadata_clean!$B$2,--$C72&lt;=--Campaign_Metadata_clean!$C$2),"SummerBeats",
IF(AND(--$C72&gt;=--Campaign_Metadata_clean!$B$3,--$C72&lt;=--Campaign_Metadata_clean!$C$3),"Wrapped2024",
IF(AND(--$C72&gt;=--Campaign_Metadata_clean!$B$4,--$C72&lt;=--Campaign_Metadata_clean!$C$4),"ChillVibes",
IF(AND(--$C72&gt;=--Campaign_Metadata_clean!$B$5,--$C72&lt;=--Campaign_Metadata_clean!$C$5),"IndieWave","No Campaign"))))</f>
        <v>No Campaign</v>
      </c>
      <c r="R72" t="str">
        <f t="shared" si="10"/>
        <v>Before</v>
      </c>
      <c r="S72" t="str">
        <f t="shared" si="11"/>
        <v/>
      </c>
      <c r="X72" s="47" t="str">
        <f>IFERROR(
_xlfn.XLOOKUP(Q72,
Campaign_Metadata_clean!A:A,
Campaign_Metadata_clean!B:B),
"")</f>
        <v/>
      </c>
      <c r="Y72" s="47" t="str">
        <f>IFERROR(
_xlfn.XLOOKUP(Q72,
Campaign_Metadata_clean!A:A,
Campaign_Metadata_clean!C:C),
"")</f>
        <v/>
      </c>
      <c r="Z72">
        <f t="shared" si="13"/>
        <v>0</v>
      </c>
      <c r="AA72">
        <f t="shared" si="14"/>
        <v>0</v>
      </c>
      <c r="AB72">
        <f t="shared" si="15"/>
        <v>0</v>
      </c>
    </row>
    <row r="73" spans="1:28">
      <c r="A73" s="1" t="s">
        <v>112</v>
      </c>
      <c r="B73" s="1" t="s">
        <v>14</v>
      </c>
      <c r="C73" s="46">
        <v>45576</v>
      </c>
      <c r="D73" s="1" t="s">
        <v>15</v>
      </c>
      <c r="E73" s="1" t="s">
        <v>374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/>
      <c r="N73" s="13">
        <f t="shared" si="12"/>
        <v>8.1549489395129612E-2</v>
      </c>
      <c r="O73">
        <f t="shared" si="8"/>
        <v>171</v>
      </c>
      <c r="P73">
        <f t="shared" si="9"/>
        <v>1661</v>
      </c>
      <c r="Q73" t="str">
        <f>IF(AND(--$C73&gt;=--Campaign_Metadata_clean!$B$2,--$C73&lt;=--Campaign_Metadata_clean!$C$2),"SummerBeats",
IF(AND(--$C73&gt;=--Campaign_Metadata_clean!$B$3,--$C73&lt;=--Campaign_Metadata_clean!$C$3),"Wrapped2024",
IF(AND(--$C73&gt;=--Campaign_Metadata_clean!$B$4,--$C73&lt;=--Campaign_Metadata_clean!$C$4),"ChillVibes",
IF(AND(--$C73&gt;=--Campaign_Metadata_clean!$B$5,--$C73&lt;=--Campaign_Metadata_clean!$C$5),"IndieWave","No Campaign"))))</f>
        <v>No Campaign</v>
      </c>
      <c r="R73" t="str">
        <f t="shared" si="10"/>
        <v>Before</v>
      </c>
      <c r="S73" t="str">
        <f t="shared" si="11"/>
        <v/>
      </c>
      <c r="X73" s="47" t="str">
        <f>IFERROR(
_xlfn.XLOOKUP(Q73,
Campaign_Metadata_clean!A:A,
Campaign_Metadata_clean!B:B),
"")</f>
        <v/>
      </c>
      <c r="Y73" s="47" t="str">
        <f>IFERROR(
_xlfn.XLOOKUP(Q73,
Campaign_Metadata_clean!A:A,
Campaign_Metadata_clean!C:C),
"")</f>
        <v/>
      </c>
      <c r="Z73">
        <f t="shared" si="13"/>
        <v>0</v>
      </c>
      <c r="AA73">
        <f t="shared" si="14"/>
        <v>0</v>
      </c>
      <c r="AB73">
        <f t="shared" si="15"/>
        <v>0</v>
      </c>
    </row>
    <row r="74" spans="1:28">
      <c r="A74" s="1" t="s">
        <v>113</v>
      </c>
      <c r="B74" s="1" t="s">
        <v>31</v>
      </c>
      <c r="C74" s="46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21</v>
      </c>
      <c r="M74" s="1" t="s">
        <v>45</v>
      </c>
      <c r="N74" s="13">
        <f t="shared" si="12"/>
        <v>5.2042268944371438E-2</v>
      </c>
      <c r="O74">
        <f t="shared" si="8"/>
        <v>247</v>
      </c>
      <c r="P74">
        <f t="shared" si="9"/>
        <v>1901</v>
      </c>
      <c r="Q74" t="str">
        <f>IF(AND(--$C74&gt;=--Campaign_Metadata_clean!$B$2,--$C74&lt;=--Campaign_Metadata_clean!$C$2),"SummerBeats",
IF(AND(--$C74&gt;=--Campaign_Metadata_clean!$B$3,--$C74&lt;=--Campaign_Metadata_clean!$C$3),"Wrapped2024",
IF(AND(--$C74&gt;=--Campaign_Metadata_clean!$B$4,--$C74&lt;=--Campaign_Metadata_clean!$C$4),"ChillVibes",
IF(AND(--$C74&gt;=--Campaign_Metadata_clean!$B$5,--$C74&lt;=--Campaign_Metadata_clean!$C$5),"IndieWave","No Campaign"))))</f>
        <v>No Campaign</v>
      </c>
      <c r="R74" t="str">
        <f t="shared" si="10"/>
        <v>Other</v>
      </c>
      <c r="S74" t="str">
        <f t="shared" si="11"/>
        <v/>
      </c>
      <c r="X74" s="47" t="str">
        <f>IFERROR(
_xlfn.XLOOKUP(Q74,
Campaign_Metadata_clean!A:A,
Campaign_Metadata_clean!B:B),
"")</f>
        <v/>
      </c>
      <c r="Y74" s="47" t="str">
        <f>IFERROR(
_xlfn.XLOOKUP(Q74,
Campaign_Metadata_clean!A:A,
Campaign_Metadata_clean!C:C),
"")</f>
        <v/>
      </c>
      <c r="Z74">
        <f t="shared" si="13"/>
        <v>0</v>
      </c>
      <c r="AA74">
        <f t="shared" si="14"/>
        <v>0</v>
      </c>
      <c r="AB74">
        <f t="shared" si="15"/>
        <v>0</v>
      </c>
    </row>
    <row r="75" spans="1:28">
      <c r="A75" s="1" t="s">
        <v>114</v>
      </c>
      <c r="B75" s="1" t="s">
        <v>24</v>
      </c>
      <c r="C75" s="46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21</v>
      </c>
      <c r="M75" s="1" t="s">
        <v>377</v>
      </c>
      <c r="N75" s="13">
        <f t="shared" si="12"/>
        <v>4.0418432004799221E-2</v>
      </c>
      <c r="O75">
        <f t="shared" si="8"/>
        <v>274</v>
      </c>
      <c r="P75">
        <f t="shared" si="9"/>
        <v>2156</v>
      </c>
      <c r="Q75" t="str">
        <f>IF(AND(--$C75&gt;=--Campaign_Metadata_clean!$B$2,--$C75&lt;=--Campaign_Metadata_clean!$C$2),"SummerBeats",
IF(AND(--$C75&gt;=--Campaign_Metadata_clean!$B$3,--$C75&lt;=--Campaign_Metadata_clean!$C$3),"Wrapped2024",
IF(AND(--$C75&gt;=--Campaign_Metadata_clean!$B$4,--$C75&lt;=--Campaign_Metadata_clean!$C$4),"ChillVibes",
IF(AND(--$C75&gt;=--Campaign_Metadata_clean!$B$5,--$C75&lt;=--Campaign_Metadata_clean!$C$5),"IndieWave","No Campaign"))))</f>
        <v>No Campaign</v>
      </c>
      <c r="R75" t="str">
        <f t="shared" si="10"/>
        <v>Before</v>
      </c>
      <c r="S75" t="str">
        <f t="shared" si="11"/>
        <v/>
      </c>
      <c r="X75" s="47" t="str">
        <f>IFERROR(
_xlfn.XLOOKUP(Q75,
Campaign_Metadata_clean!A:A,
Campaign_Metadata_clean!B:B),
"")</f>
        <v/>
      </c>
      <c r="Y75" s="47" t="str">
        <f>IFERROR(
_xlfn.XLOOKUP(Q75,
Campaign_Metadata_clean!A:A,
Campaign_Metadata_clean!C:C),
"")</f>
        <v/>
      </c>
      <c r="Z75">
        <f t="shared" si="13"/>
        <v>0</v>
      </c>
      <c r="AA75">
        <f t="shared" si="14"/>
        <v>0</v>
      </c>
      <c r="AB75">
        <f t="shared" si="15"/>
        <v>0</v>
      </c>
    </row>
    <row r="76" spans="1:28">
      <c r="A76" s="1" t="s">
        <v>115</v>
      </c>
      <c r="B76" s="1" t="s">
        <v>24</v>
      </c>
      <c r="C76" s="46">
        <v>45313</v>
      </c>
      <c r="D76" s="1" t="s">
        <v>25</v>
      </c>
      <c r="E76" s="1" t="s">
        <v>374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45</v>
      </c>
      <c r="M76" s="1" t="s">
        <v>42</v>
      </c>
      <c r="N76" s="13">
        <f t="shared" si="12"/>
        <v>5.1660428636136076E-2</v>
      </c>
      <c r="O76">
        <f t="shared" si="8"/>
        <v>252</v>
      </c>
      <c r="P76">
        <f t="shared" si="9"/>
        <v>2167</v>
      </c>
      <c r="Q76" t="str">
        <f>IF(AND(--$C76&gt;=--Campaign_Metadata_clean!$B$2,--$C76&lt;=--Campaign_Metadata_clean!$C$2),"SummerBeats",
IF(AND(--$C76&gt;=--Campaign_Metadata_clean!$B$3,--$C76&lt;=--Campaign_Metadata_clean!$C$3),"Wrapped2024",
IF(AND(--$C76&gt;=--Campaign_Metadata_clean!$B$4,--$C76&lt;=--Campaign_Metadata_clean!$C$4),"ChillVibes",
IF(AND(--$C76&gt;=--Campaign_Metadata_clean!$B$5,--$C76&lt;=--Campaign_Metadata_clean!$C$5),"IndieWave","No Campaign"))))</f>
        <v>No Campaign</v>
      </c>
      <c r="R76" t="str">
        <f t="shared" si="10"/>
        <v>Before</v>
      </c>
      <c r="S76" t="str">
        <f t="shared" si="11"/>
        <v/>
      </c>
      <c r="X76" s="47" t="str">
        <f>IFERROR(
_xlfn.XLOOKUP(Q76,
Campaign_Metadata_clean!A:A,
Campaign_Metadata_clean!B:B),
"")</f>
        <v/>
      </c>
      <c r="Y76" s="47" t="str">
        <f>IFERROR(
_xlfn.XLOOKUP(Q76,
Campaign_Metadata_clean!A:A,
Campaign_Metadata_clean!C:C),
"")</f>
        <v/>
      </c>
      <c r="Z76">
        <f t="shared" si="13"/>
        <v>0</v>
      </c>
      <c r="AA76">
        <f t="shared" si="14"/>
        <v>0</v>
      </c>
      <c r="AB76">
        <f t="shared" si="15"/>
        <v>0</v>
      </c>
    </row>
    <row r="77" spans="1:28">
      <c r="A77" s="1" t="s">
        <v>116</v>
      </c>
      <c r="B77" s="1" t="s">
        <v>14</v>
      </c>
      <c r="C77" s="46">
        <v>45487</v>
      </c>
      <c r="D77" s="1" t="s">
        <v>15</v>
      </c>
      <c r="E77" s="1" t="s">
        <v>376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/>
      <c r="N77" s="13">
        <f t="shared" si="12"/>
        <v>7.611534979956032E-2</v>
      </c>
      <c r="O77">
        <f t="shared" si="8"/>
        <v>186</v>
      </c>
      <c r="P77">
        <f t="shared" si="9"/>
        <v>2943</v>
      </c>
      <c r="Q77" t="str">
        <f>IF(AND(--$C77&gt;=--Campaign_Metadata_clean!$B$2,--$C77&lt;=--Campaign_Metadata_clean!$C$2),"SummerBeats",
IF(AND(--$C77&gt;=--Campaign_Metadata_clean!$B$3,--$C77&lt;=--Campaign_Metadata_clean!$C$3),"Wrapped2024",
IF(AND(--$C77&gt;=--Campaign_Metadata_clean!$B$4,--$C77&lt;=--Campaign_Metadata_clean!$C$4),"ChillVibes",
IF(AND(--$C77&gt;=--Campaign_Metadata_clean!$B$5,--$C77&lt;=--Campaign_Metadata_clean!$C$5),"IndieWave","No Campaign"))))</f>
        <v>SummerBeats</v>
      </c>
      <c r="R77" t="str">
        <f t="shared" si="10"/>
        <v>Before</v>
      </c>
      <c r="S77" t="str">
        <f t="shared" si="11"/>
        <v>During</v>
      </c>
      <c r="X77" s="47">
        <f>IFERROR(
_xlfn.XLOOKUP(Q77,
Campaign_Metadata_clean!A:A,
Campaign_Metadata_clean!B:B),
"")</f>
        <v>45458</v>
      </c>
      <c r="Y77" s="47">
        <f>IFERROR(
_xlfn.XLOOKUP(Q77,
Campaign_Metadata_clean!A:A,
Campaign_Metadata_clean!C:C),
"")</f>
        <v>45488</v>
      </c>
      <c r="Z77">
        <f t="shared" si="13"/>
        <v>7.7477551774674469E-2</v>
      </c>
      <c r="AA77">
        <f t="shared" si="14"/>
        <v>9.67495057607137E-2</v>
      </c>
      <c r="AB77">
        <f t="shared" ca="1" si="15"/>
        <v>0</v>
      </c>
    </row>
    <row r="78" spans="1:28">
      <c r="A78" s="1" t="s">
        <v>117</v>
      </c>
      <c r="B78" s="1" t="s">
        <v>24</v>
      </c>
      <c r="C78" s="46">
        <v>45805</v>
      </c>
      <c r="D78" s="1" t="s">
        <v>15</v>
      </c>
      <c r="E78" s="1" t="s">
        <v>374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/>
      <c r="N78" s="13">
        <f t="shared" si="12"/>
        <v>9.6080290300434801E-2</v>
      </c>
      <c r="O78">
        <f t="shared" si="8"/>
        <v>118</v>
      </c>
      <c r="P78">
        <f t="shared" si="9"/>
        <v>2939</v>
      </c>
      <c r="Q78" t="str">
        <f>IF(AND(--$C78&gt;=--Campaign_Metadata_clean!$B$2,--$C78&lt;=--Campaign_Metadata_clean!$C$2),"SummerBeats",
IF(AND(--$C78&gt;=--Campaign_Metadata_clean!$B$3,--$C78&lt;=--Campaign_Metadata_clean!$C$3),"Wrapped2024",
IF(AND(--$C78&gt;=--Campaign_Metadata_clean!$B$4,--$C78&lt;=--Campaign_Metadata_clean!$C$4),"ChillVibes",
IF(AND(--$C78&gt;=--Campaign_Metadata_clean!$B$5,--$C78&lt;=--Campaign_Metadata_clean!$C$5),"IndieWave","No Campaign"))))</f>
        <v>No Campaign</v>
      </c>
      <c r="R78" t="str">
        <f t="shared" si="10"/>
        <v>Other</v>
      </c>
      <c r="S78" t="str">
        <f t="shared" si="11"/>
        <v/>
      </c>
      <c r="X78" s="47" t="str">
        <f>IFERROR(
_xlfn.XLOOKUP(Q78,
Campaign_Metadata_clean!A:A,
Campaign_Metadata_clean!B:B),
"")</f>
        <v/>
      </c>
      <c r="Y78" s="47" t="str">
        <f>IFERROR(
_xlfn.XLOOKUP(Q78,
Campaign_Metadata_clean!A:A,
Campaign_Metadata_clean!C:C),
"")</f>
        <v/>
      </c>
      <c r="Z78">
        <f t="shared" si="13"/>
        <v>0</v>
      </c>
      <c r="AA78">
        <f t="shared" si="14"/>
        <v>0</v>
      </c>
      <c r="AB78">
        <f t="shared" si="15"/>
        <v>0</v>
      </c>
    </row>
    <row r="79" spans="1:28">
      <c r="A79" s="1" t="s">
        <v>118</v>
      </c>
      <c r="B79" s="1" t="s">
        <v>24</v>
      </c>
      <c r="C79" s="46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377</v>
      </c>
      <c r="M79" s="1" t="s">
        <v>42</v>
      </c>
      <c r="N79" s="13">
        <f t="shared" si="12"/>
        <v>0.13476527900797167</v>
      </c>
      <c r="O79">
        <f t="shared" si="8"/>
        <v>51</v>
      </c>
      <c r="P79">
        <f t="shared" si="9"/>
        <v>3043</v>
      </c>
      <c r="Q79" t="str">
        <f>IF(AND(--$C79&gt;=--Campaign_Metadata_clean!$B$2,--$C79&lt;=--Campaign_Metadata_clean!$C$2),"SummerBeats",
IF(AND(--$C79&gt;=--Campaign_Metadata_clean!$B$3,--$C79&lt;=--Campaign_Metadata_clean!$C$3),"Wrapped2024",
IF(AND(--$C79&gt;=--Campaign_Metadata_clean!$B$4,--$C79&lt;=--Campaign_Metadata_clean!$C$4),"ChillVibes",
IF(AND(--$C79&gt;=--Campaign_Metadata_clean!$B$5,--$C79&lt;=--Campaign_Metadata_clean!$C$5),"IndieWave","No Campaign"))))</f>
        <v>ChillVibes</v>
      </c>
      <c r="R79" t="str">
        <f t="shared" si="10"/>
        <v>During</v>
      </c>
      <c r="S79" t="str">
        <f t="shared" si="11"/>
        <v>During</v>
      </c>
      <c r="X79" s="47">
        <f>IFERROR(
_xlfn.XLOOKUP(Q79,
Campaign_Metadata_clean!A:A,
Campaign_Metadata_clean!B:B),
"")</f>
        <v>45667</v>
      </c>
      <c r="Y79" s="47">
        <f>IFERROR(
_xlfn.XLOOKUP(Q79,
Campaign_Metadata_clean!A:A,
Campaign_Metadata_clean!C:C),
"")</f>
        <v>45698</v>
      </c>
      <c r="Z79">
        <f t="shared" si="13"/>
        <v>0.10086311618757582</v>
      </c>
      <c r="AA79">
        <f t="shared" si="14"/>
        <v>0.10541160412718438</v>
      </c>
      <c r="AB79">
        <f t="shared" ca="1" si="15"/>
        <v>0</v>
      </c>
    </row>
    <row r="80" spans="1:28">
      <c r="A80" s="1" t="s">
        <v>119</v>
      </c>
      <c r="B80" s="1" t="s">
        <v>31</v>
      </c>
      <c r="C80" s="46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21</v>
      </c>
      <c r="M80" s="1" t="s">
        <v>45</v>
      </c>
      <c r="N80" s="13">
        <f t="shared" si="12"/>
        <v>0.14335162515829464</v>
      </c>
      <c r="O80">
        <f t="shared" si="8"/>
        <v>44</v>
      </c>
      <c r="P80">
        <f t="shared" si="9"/>
        <v>5094</v>
      </c>
      <c r="Q80" t="str">
        <f>IF(AND(--$C80&gt;=--Campaign_Metadata_clean!$B$2,--$C80&lt;=--Campaign_Metadata_clean!$C$2),"SummerBeats",
IF(AND(--$C80&gt;=--Campaign_Metadata_clean!$B$3,--$C80&lt;=--Campaign_Metadata_clean!$C$3),"Wrapped2024",
IF(AND(--$C80&gt;=--Campaign_Metadata_clean!$B$4,--$C80&lt;=--Campaign_Metadata_clean!$C$4),"ChillVibes",
IF(AND(--$C80&gt;=--Campaign_Metadata_clean!$B$5,--$C80&lt;=--Campaign_Metadata_clean!$C$5),"IndieWave","No Campaign"))))</f>
        <v>No Campaign</v>
      </c>
      <c r="R80" t="str">
        <f t="shared" si="10"/>
        <v>Before</v>
      </c>
      <c r="S80" t="str">
        <f t="shared" si="11"/>
        <v/>
      </c>
      <c r="X80" s="47" t="str">
        <f>IFERROR(
_xlfn.XLOOKUP(Q80,
Campaign_Metadata_clean!A:A,
Campaign_Metadata_clean!B:B),
"")</f>
        <v/>
      </c>
      <c r="Y80" s="47" t="str">
        <f>IFERROR(
_xlfn.XLOOKUP(Q80,
Campaign_Metadata_clean!A:A,
Campaign_Metadata_clean!C:C),
"")</f>
        <v/>
      </c>
      <c r="Z80">
        <f t="shared" si="13"/>
        <v>0</v>
      </c>
      <c r="AA80">
        <f t="shared" si="14"/>
        <v>0</v>
      </c>
      <c r="AB80">
        <f t="shared" si="15"/>
        <v>0</v>
      </c>
    </row>
    <row r="81" spans="1:28">
      <c r="A81" s="1" t="s">
        <v>120</v>
      </c>
      <c r="B81" s="1" t="s">
        <v>14</v>
      </c>
      <c r="C81" s="46">
        <v>45825</v>
      </c>
      <c r="D81" s="1" t="s">
        <v>15</v>
      </c>
      <c r="E81" s="1" t="s">
        <v>375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45</v>
      </c>
      <c r="M81" s="1" t="s">
        <v>42</v>
      </c>
      <c r="N81" s="13">
        <f t="shared" si="12"/>
        <v>7.3021390374331557E-2</v>
      </c>
      <c r="O81">
        <f t="shared" si="8"/>
        <v>194</v>
      </c>
      <c r="P81">
        <f t="shared" si="9"/>
        <v>2731</v>
      </c>
      <c r="Q81" t="str">
        <f>IF(AND(--$C81&gt;=--Campaign_Metadata_clean!$B$2,--$C81&lt;=--Campaign_Metadata_clean!$C$2),"SummerBeats",
IF(AND(--$C81&gt;=--Campaign_Metadata_clean!$B$3,--$C81&lt;=--Campaign_Metadata_clean!$C$3),"Wrapped2024",
IF(AND(--$C81&gt;=--Campaign_Metadata_clean!$B$4,--$C81&lt;=--Campaign_Metadata_clean!$C$4),"ChillVibes",
IF(AND(--$C81&gt;=--Campaign_Metadata_clean!$B$5,--$C81&lt;=--Campaign_Metadata_clean!$C$5),"IndieWave","No Campaign"))))</f>
        <v>No Campaign</v>
      </c>
      <c r="R81" t="str">
        <f t="shared" si="10"/>
        <v>Other</v>
      </c>
      <c r="S81" t="str">
        <f t="shared" si="11"/>
        <v/>
      </c>
      <c r="X81" s="47" t="str">
        <f>IFERROR(
_xlfn.XLOOKUP(Q81,
Campaign_Metadata_clean!A:A,
Campaign_Metadata_clean!B:B),
"")</f>
        <v/>
      </c>
      <c r="Y81" s="47" t="str">
        <f>IFERROR(
_xlfn.XLOOKUP(Q81,
Campaign_Metadata_clean!A:A,
Campaign_Metadata_clean!C:C),
"")</f>
        <v/>
      </c>
      <c r="Z81">
        <f t="shared" si="13"/>
        <v>0</v>
      </c>
      <c r="AA81">
        <f t="shared" si="14"/>
        <v>0</v>
      </c>
      <c r="AB81">
        <f t="shared" si="15"/>
        <v>0</v>
      </c>
    </row>
    <row r="82" spans="1:28">
      <c r="A82" s="1" t="s">
        <v>121</v>
      </c>
      <c r="B82" s="1" t="s">
        <v>24</v>
      </c>
      <c r="C82" s="46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/>
      <c r="N82" s="13">
        <f t="shared" si="12"/>
        <v>8.8232696960599044E-2</v>
      </c>
      <c r="O82">
        <f t="shared" si="8"/>
        <v>142</v>
      </c>
      <c r="P82">
        <f t="shared" si="9"/>
        <v>4996</v>
      </c>
      <c r="Q82" t="str">
        <f>IF(AND(--$C82&gt;=--Campaign_Metadata_clean!$B$2,--$C82&lt;=--Campaign_Metadata_clean!$C$2),"SummerBeats",
IF(AND(--$C82&gt;=--Campaign_Metadata_clean!$B$3,--$C82&lt;=--Campaign_Metadata_clean!$C$3),"Wrapped2024",
IF(AND(--$C82&gt;=--Campaign_Metadata_clean!$B$4,--$C82&lt;=--Campaign_Metadata_clean!$C$4),"ChillVibes",
IF(AND(--$C82&gt;=--Campaign_Metadata_clean!$B$5,--$C82&lt;=--Campaign_Metadata_clean!$C$5),"IndieWave","No Campaign"))))</f>
        <v>IndieWave</v>
      </c>
      <c r="R82" t="str">
        <f t="shared" si="10"/>
        <v>Other</v>
      </c>
      <c r="S82" t="str">
        <f t="shared" si="11"/>
        <v>During</v>
      </c>
      <c r="X82" s="47">
        <f>IFERROR(
_xlfn.XLOOKUP(Q82,
Campaign_Metadata_clean!A:A,
Campaign_Metadata_clean!B:B),
"")</f>
        <v>45717</v>
      </c>
      <c r="Y82" s="47">
        <f>IFERROR(
_xlfn.XLOOKUP(Q82,
Campaign_Metadata_clean!A:A,
Campaign_Metadata_clean!C:C),
"")</f>
        <v>45747</v>
      </c>
      <c r="Z82">
        <f t="shared" si="13"/>
        <v>0.11058335030833821</v>
      </c>
      <c r="AA82">
        <f t="shared" si="14"/>
        <v>0.10264545756473814</v>
      </c>
      <c r="AB82">
        <f t="shared" ca="1" si="15"/>
        <v>0</v>
      </c>
    </row>
    <row r="83" spans="1:28">
      <c r="A83" s="1" t="s">
        <v>122</v>
      </c>
      <c r="B83" s="1" t="s">
        <v>14</v>
      </c>
      <c r="C83" s="46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/>
      <c r="N83" s="13">
        <f t="shared" si="12"/>
        <v>5.9312714776632303E-2</v>
      </c>
      <c r="O83">
        <f t="shared" si="8"/>
        <v>226</v>
      </c>
      <c r="P83">
        <f t="shared" si="9"/>
        <v>2589</v>
      </c>
      <c r="Q83" t="str">
        <f>IF(AND(--$C83&gt;=--Campaign_Metadata_clean!$B$2,--$C83&lt;=--Campaign_Metadata_clean!$C$2),"SummerBeats",
IF(AND(--$C83&gt;=--Campaign_Metadata_clean!$B$3,--$C83&lt;=--Campaign_Metadata_clean!$C$3),"Wrapped2024",
IF(AND(--$C83&gt;=--Campaign_Metadata_clean!$B$4,--$C83&lt;=--Campaign_Metadata_clean!$C$4),"ChillVibes",
IF(AND(--$C83&gt;=--Campaign_Metadata_clean!$B$5,--$C83&lt;=--Campaign_Metadata_clean!$C$5),"IndieWave","No Campaign"))))</f>
        <v>No Campaign</v>
      </c>
      <c r="R83" t="str">
        <f t="shared" si="10"/>
        <v>Before</v>
      </c>
      <c r="S83" t="str">
        <f t="shared" si="11"/>
        <v/>
      </c>
      <c r="X83" s="47" t="str">
        <f>IFERROR(
_xlfn.XLOOKUP(Q83,
Campaign_Metadata_clean!A:A,
Campaign_Metadata_clean!B:B),
"")</f>
        <v/>
      </c>
      <c r="Y83" s="47" t="str">
        <f>IFERROR(
_xlfn.XLOOKUP(Q83,
Campaign_Metadata_clean!A:A,
Campaign_Metadata_clean!C:C),
"")</f>
        <v/>
      </c>
      <c r="Z83">
        <f t="shared" si="13"/>
        <v>0</v>
      </c>
      <c r="AA83">
        <f t="shared" si="14"/>
        <v>0</v>
      </c>
      <c r="AB83">
        <f t="shared" si="15"/>
        <v>0</v>
      </c>
    </row>
    <row r="84" spans="1:28">
      <c r="A84" s="1" t="s">
        <v>123</v>
      </c>
      <c r="B84" s="1" t="s">
        <v>24</v>
      </c>
      <c r="C84" s="46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45</v>
      </c>
      <c r="M84" s="1" t="s">
        <v>42</v>
      </c>
      <c r="N84" s="13">
        <f t="shared" si="12"/>
        <v>0.1471166637746544</v>
      </c>
      <c r="O84">
        <f t="shared" si="8"/>
        <v>38</v>
      </c>
      <c r="P84">
        <f t="shared" si="9"/>
        <v>5087</v>
      </c>
      <c r="Q84" t="str">
        <f>IF(AND(--$C84&gt;=--Campaign_Metadata_clean!$B$2,--$C84&lt;=--Campaign_Metadata_clean!$C$2),"SummerBeats",
IF(AND(--$C84&gt;=--Campaign_Metadata_clean!$B$3,--$C84&lt;=--Campaign_Metadata_clean!$C$3),"Wrapped2024",
IF(AND(--$C84&gt;=--Campaign_Metadata_clean!$B$4,--$C84&lt;=--Campaign_Metadata_clean!$C$4),"ChillVibes",
IF(AND(--$C84&gt;=--Campaign_Metadata_clean!$B$5,--$C84&lt;=--Campaign_Metadata_clean!$C$5),"IndieWave","No Campaign"))))</f>
        <v>No Campaign</v>
      </c>
      <c r="R84" t="str">
        <f t="shared" si="10"/>
        <v>Before</v>
      </c>
      <c r="S84" t="str">
        <f t="shared" si="11"/>
        <v/>
      </c>
      <c r="X84" s="47" t="str">
        <f>IFERROR(
_xlfn.XLOOKUP(Q84,
Campaign_Metadata_clean!A:A,
Campaign_Metadata_clean!B:B),
"")</f>
        <v/>
      </c>
      <c r="Y84" s="47" t="str">
        <f>IFERROR(
_xlfn.XLOOKUP(Q84,
Campaign_Metadata_clean!A:A,
Campaign_Metadata_clean!C:C),
"")</f>
        <v/>
      </c>
      <c r="Z84">
        <f t="shared" si="13"/>
        <v>0</v>
      </c>
      <c r="AA84">
        <f t="shared" si="14"/>
        <v>0</v>
      </c>
      <c r="AB84">
        <f t="shared" si="15"/>
        <v>0</v>
      </c>
    </row>
    <row r="85" spans="1:28">
      <c r="A85" s="1" t="s">
        <v>124</v>
      </c>
      <c r="B85" s="1" t="s">
        <v>24</v>
      </c>
      <c r="C85" s="46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/>
      <c r="N85" s="13">
        <f t="shared" si="12"/>
        <v>0.16283364109451065</v>
      </c>
      <c r="O85">
        <f t="shared" si="8"/>
        <v>24</v>
      </c>
      <c r="P85">
        <f t="shared" si="9"/>
        <v>4850</v>
      </c>
      <c r="Q85" t="str">
        <f>IF(AND(--$C85&gt;=--Campaign_Metadata_clean!$B$2,--$C85&lt;=--Campaign_Metadata_clean!$C$2),"SummerBeats",
IF(AND(--$C85&gt;=--Campaign_Metadata_clean!$B$3,--$C85&lt;=--Campaign_Metadata_clean!$C$3),"Wrapped2024",
IF(AND(--$C85&gt;=--Campaign_Metadata_clean!$B$4,--$C85&lt;=--Campaign_Metadata_clean!$C$4),"ChillVibes",
IF(AND(--$C85&gt;=--Campaign_Metadata_clean!$B$5,--$C85&lt;=--Campaign_Metadata_clean!$C$5),"IndieWave","No Campaign"))))</f>
        <v>No Campaign</v>
      </c>
      <c r="R85" t="str">
        <f t="shared" si="10"/>
        <v>Before</v>
      </c>
      <c r="S85" t="str">
        <f t="shared" si="11"/>
        <v/>
      </c>
      <c r="X85" s="47" t="str">
        <f>IFERROR(
_xlfn.XLOOKUP(Q85,
Campaign_Metadata_clean!A:A,
Campaign_Metadata_clean!B:B),
"")</f>
        <v/>
      </c>
      <c r="Y85" s="47" t="str">
        <f>IFERROR(
_xlfn.XLOOKUP(Q85,
Campaign_Metadata_clean!A:A,
Campaign_Metadata_clean!C:C),
"")</f>
        <v/>
      </c>
      <c r="Z85">
        <f t="shared" si="13"/>
        <v>0</v>
      </c>
      <c r="AA85">
        <f t="shared" si="14"/>
        <v>0</v>
      </c>
      <c r="AB85">
        <f t="shared" si="15"/>
        <v>0</v>
      </c>
    </row>
    <row r="86" spans="1:28">
      <c r="A86" s="1" t="s">
        <v>125</v>
      </c>
      <c r="B86" s="1" t="s">
        <v>14</v>
      </c>
      <c r="C86" s="46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45</v>
      </c>
      <c r="M86" s="1" t="s">
        <v>42</v>
      </c>
      <c r="N86" s="13">
        <f t="shared" si="12"/>
        <v>6.0050273034584378E-2</v>
      </c>
      <c r="O86">
        <f t="shared" si="8"/>
        <v>223</v>
      </c>
      <c r="P86">
        <f t="shared" si="9"/>
        <v>3464</v>
      </c>
      <c r="Q86" t="str">
        <f>IF(AND(--$C86&gt;=--Campaign_Metadata_clean!$B$2,--$C86&lt;=--Campaign_Metadata_clean!$C$2),"SummerBeats",
IF(AND(--$C86&gt;=--Campaign_Metadata_clean!$B$3,--$C86&lt;=--Campaign_Metadata_clean!$C$3),"Wrapped2024",
IF(AND(--$C86&gt;=--Campaign_Metadata_clean!$B$4,--$C86&lt;=--Campaign_Metadata_clean!$C$4),"ChillVibes",
IF(AND(--$C86&gt;=--Campaign_Metadata_clean!$B$5,--$C86&lt;=--Campaign_Metadata_clean!$C$5),"IndieWave","No Campaign"))))</f>
        <v>No Campaign</v>
      </c>
      <c r="R86" t="str">
        <f t="shared" si="10"/>
        <v>Before</v>
      </c>
      <c r="S86" t="str">
        <f t="shared" si="11"/>
        <v/>
      </c>
      <c r="X86" s="47" t="str">
        <f>IFERROR(
_xlfn.XLOOKUP(Q86,
Campaign_Metadata_clean!A:A,
Campaign_Metadata_clean!B:B),
"")</f>
        <v/>
      </c>
      <c r="Y86" s="47" t="str">
        <f>IFERROR(
_xlfn.XLOOKUP(Q86,
Campaign_Metadata_clean!A:A,
Campaign_Metadata_clean!C:C),
"")</f>
        <v/>
      </c>
      <c r="Z86">
        <f t="shared" si="13"/>
        <v>0</v>
      </c>
      <c r="AA86">
        <f t="shared" si="14"/>
        <v>0</v>
      </c>
      <c r="AB86">
        <f t="shared" si="15"/>
        <v>0</v>
      </c>
    </row>
    <row r="87" spans="1:28">
      <c r="A87" s="1" t="s">
        <v>126</v>
      </c>
      <c r="B87" s="1" t="s">
        <v>24</v>
      </c>
      <c r="C87" s="46">
        <v>45791</v>
      </c>
      <c r="D87" s="1" t="s">
        <v>25</v>
      </c>
      <c r="E87" s="1" t="s">
        <v>376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45</v>
      </c>
      <c r="M87" s="1" t="s">
        <v>42</v>
      </c>
      <c r="N87" s="13">
        <f t="shared" si="12"/>
        <v>4.4438295517432211E-2</v>
      </c>
      <c r="O87">
        <f t="shared" si="8"/>
        <v>267</v>
      </c>
      <c r="P87">
        <f t="shared" si="9"/>
        <v>1606</v>
      </c>
      <c r="Q87" t="str">
        <f>IF(AND(--$C87&gt;=--Campaign_Metadata_clean!$B$2,--$C87&lt;=--Campaign_Metadata_clean!$C$2),"SummerBeats",
IF(AND(--$C87&gt;=--Campaign_Metadata_clean!$B$3,--$C87&lt;=--Campaign_Metadata_clean!$C$3),"Wrapped2024",
IF(AND(--$C87&gt;=--Campaign_Metadata_clean!$B$4,--$C87&lt;=--Campaign_Metadata_clean!$C$4),"ChillVibes",
IF(AND(--$C87&gt;=--Campaign_Metadata_clean!$B$5,--$C87&lt;=--Campaign_Metadata_clean!$C$5),"IndieWave","No Campaign"))))</f>
        <v>No Campaign</v>
      </c>
      <c r="R87" t="str">
        <f t="shared" si="10"/>
        <v>Other</v>
      </c>
      <c r="S87" t="str">
        <f t="shared" si="11"/>
        <v/>
      </c>
      <c r="X87" s="47" t="str">
        <f>IFERROR(
_xlfn.XLOOKUP(Q87,
Campaign_Metadata_clean!A:A,
Campaign_Metadata_clean!B:B),
"")</f>
        <v/>
      </c>
      <c r="Y87" s="47" t="str">
        <f>IFERROR(
_xlfn.XLOOKUP(Q87,
Campaign_Metadata_clean!A:A,
Campaign_Metadata_clean!C:C),
"")</f>
        <v/>
      </c>
      <c r="Z87">
        <f t="shared" si="13"/>
        <v>0</v>
      </c>
      <c r="AA87">
        <f t="shared" si="14"/>
        <v>0</v>
      </c>
      <c r="AB87">
        <f t="shared" si="15"/>
        <v>0</v>
      </c>
    </row>
    <row r="88" spans="1:28">
      <c r="A88" s="1" t="s">
        <v>127</v>
      </c>
      <c r="B88" s="1" t="s">
        <v>24</v>
      </c>
      <c r="C88" s="46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45</v>
      </c>
      <c r="M88" s="1" t="s">
        <v>42</v>
      </c>
      <c r="N88" s="13">
        <f t="shared" si="12"/>
        <v>6.1158416768035934E-2</v>
      </c>
      <c r="O88">
        <f t="shared" si="8"/>
        <v>220</v>
      </c>
      <c r="P88">
        <f t="shared" si="9"/>
        <v>3268</v>
      </c>
      <c r="Q88" t="str">
        <f>IF(AND(--$C88&gt;=--Campaign_Metadata_clean!$B$2,--$C88&lt;=--Campaign_Metadata_clean!$C$2),"SummerBeats",
IF(AND(--$C88&gt;=--Campaign_Metadata_clean!$B$3,--$C88&lt;=--Campaign_Metadata_clean!$C$3),"Wrapped2024",
IF(AND(--$C88&gt;=--Campaign_Metadata_clean!$B$4,--$C88&lt;=--Campaign_Metadata_clean!$C$4),"ChillVibes",
IF(AND(--$C88&gt;=--Campaign_Metadata_clean!$B$5,--$C88&lt;=--Campaign_Metadata_clean!$C$5),"IndieWave","No Campaign"))))</f>
        <v>No Campaign</v>
      </c>
      <c r="R88" t="str">
        <f t="shared" si="10"/>
        <v>Before</v>
      </c>
      <c r="S88" t="str">
        <f t="shared" si="11"/>
        <v/>
      </c>
      <c r="X88" s="47" t="str">
        <f>IFERROR(
_xlfn.XLOOKUP(Q88,
Campaign_Metadata_clean!A:A,
Campaign_Metadata_clean!B:B),
"")</f>
        <v/>
      </c>
      <c r="Y88" s="47" t="str">
        <f>IFERROR(
_xlfn.XLOOKUP(Q88,
Campaign_Metadata_clean!A:A,
Campaign_Metadata_clean!C:C),
"")</f>
        <v/>
      </c>
      <c r="Z88">
        <f t="shared" si="13"/>
        <v>0</v>
      </c>
      <c r="AA88">
        <f t="shared" si="14"/>
        <v>0</v>
      </c>
      <c r="AB88">
        <f t="shared" si="15"/>
        <v>0</v>
      </c>
    </row>
    <row r="89" spans="1:28">
      <c r="A89" s="1" t="s">
        <v>128</v>
      </c>
      <c r="B89" s="1" t="s">
        <v>24</v>
      </c>
      <c r="C89" s="46">
        <v>45705</v>
      </c>
      <c r="D89" s="1" t="s">
        <v>25</v>
      </c>
      <c r="E89" s="1" t="s">
        <v>373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45</v>
      </c>
      <c r="M89" s="1" t="s">
        <v>42</v>
      </c>
      <c r="N89" s="13">
        <f t="shared" si="12"/>
        <v>0.18086628511966701</v>
      </c>
      <c r="O89">
        <f t="shared" si="8"/>
        <v>11</v>
      </c>
      <c r="P89">
        <f t="shared" si="9"/>
        <v>5562</v>
      </c>
      <c r="Q89" t="str">
        <f>IF(AND(--$C89&gt;=--Campaign_Metadata_clean!$B$2,--$C89&lt;=--Campaign_Metadata_clean!$C$2),"SummerBeats",
IF(AND(--$C89&gt;=--Campaign_Metadata_clean!$B$3,--$C89&lt;=--Campaign_Metadata_clean!$C$3),"Wrapped2024",
IF(AND(--$C89&gt;=--Campaign_Metadata_clean!$B$4,--$C89&lt;=--Campaign_Metadata_clean!$C$4),"ChillVibes",
IF(AND(--$C89&gt;=--Campaign_Metadata_clean!$B$5,--$C89&lt;=--Campaign_Metadata_clean!$C$5),"IndieWave","No Campaign"))))</f>
        <v>No Campaign</v>
      </c>
      <c r="R89" t="str">
        <f t="shared" si="10"/>
        <v>Other</v>
      </c>
      <c r="S89" t="str">
        <f t="shared" si="11"/>
        <v/>
      </c>
      <c r="X89" s="47" t="str">
        <f>IFERROR(
_xlfn.XLOOKUP(Q89,
Campaign_Metadata_clean!A:A,
Campaign_Metadata_clean!B:B),
"")</f>
        <v/>
      </c>
      <c r="Y89" s="47" t="str">
        <f>IFERROR(
_xlfn.XLOOKUP(Q89,
Campaign_Metadata_clean!A:A,
Campaign_Metadata_clean!C:C),
"")</f>
        <v/>
      </c>
      <c r="Z89">
        <f t="shared" si="13"/>
        <v>0</v>
      </c>
      <c r="AA89">
        <f t="shared" si="14"/>
        <v>0</v>
      </c>
      <c r="AB89">
        <f t="shared" si="15"/>
        <v>0</v>
      </c>
    </row>
    <row r="90" spans="1:28">
      <c r="A90" s="1" t="s">
        <v>129</v>
      </c>
      <c r="B90" s="1" t="s">
        <v>14</v>
      </c>
      <c r="C90" s="46">
        <v>45630</v>
      </c>
      <c r="D90" s="1" t="s">
        <v>15</v>
      </c>
      <c r="E90" s="1" t="s">
        <v>376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45</v>
      </c>
      <c r="M90" s="1" t="s">
        <v>42</v>
      </c>
      <c r="N90" s="13">
        <f t="shared" si="12"/>
        <v>9.8770390509144837E-2</v>
      </c>
      <c r="O90">
        <f t="shared" si="8"/>
        <v>109</v>
      </c>
      <c r="P90">
        <f t="shared" si="9"/>
        <v>3197</v>
      </c>
      <c r="Q90" t="str">
        <f>IF(AND(--$C90&gt;=--Campaign_Metadata_clean!$B$2,--$C90&lt;=--Campaign_Metadata_clean!$C$2),"SummerBeats",
IF(AND(--$C90&gt;=--Campaign_Metadata_clean!$B$3,--$C90&lt;=--Campaign_Metadata_clean!$C$3),"Wrapped2024",
IF(AND(--$C90&gt;=--Campaign_Metadata_clean!$B$4,--$C90&lt;=--Campaign_Metadata_clean!$C$4),"ChillVibes",
IF(AND(--$C90&gt;=--Campaign_Metadata_clean!$B$5,--$C90&lt;=--Campaign_Metadata_clean!$C$5),"IndieWave","No Campaign"))))</f>
        <v>Wrapped2024</v>
      </c>
      <c r="R90" t="str">
        <f t="shared" si="10"/>
        <v>Before</v>
      </c>
      <c r="S90" t="str">
        <f t="shared" si="11"/>
        <v>During</v>
      </c>
      <c r="X90" s="47">
        <f>IFERROR(
_xlfn.XLOOKUP(Q90,
Campaign_Metadata_clean!A:A,
Campaign_Metadata_clean!B:B),
"")</f>
        <v>45627</v>
      </c>
      <c r="Y90" s="47">
        <f>IFERROR(
_xlfn.XLOOKUP(Q90,
Campaign_Metadata_clean!A:A,
Campaign_Metadata_clean!C:C),
"")</f>
        <v>45657</v>
      </c>
      <c r="Z90">
        <f t="shared" si="13"/>
        <v>9.2680818872661358E-2</v>
      </c>
      <c r="AA90">
        <f t="shared" si="14"/>
        <v>9.9294724623054248E-2</v>
      </c>
      <c r="AB90">
        <f t="shared" ca="1" si="15"/>
        <v>0</v>
      </c>
    </row>
    <row r="91" spans="1:28">
      <c r="A91" s="1" t="s">
        <v>130</v>
      </c>
      <c r="B91" s="1" t="s">
        <v>24</v>
      </c>
      <c r="C91" s="46">
        <v>45495</v>
      </c>
      <c r="D91" s="1" t="s">
        <v>25</v>
      </c>
      <c r="E91" s="1" t="s">
        <v>376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377</v>
      </c>
      <c r="M91" s="1" t="s">
        <v>42</v>
      </c>
      <c r="N91" s="13">
        <f t="shared" si="12"/>
        <v>0.17642537414658407</v>
      </c>
      <c r="O91">
        <f t="shared" si="8"/>
        <v>15</v>
      </c>
      <c r="P91">
        <f t="shared" si="9"/>
        <v>3902</v>
      </c>
      <c r="Q91" t="str">
        <f>IF(AND(--$C91&gt;=--Campaign_Metadata_clean!$B$2,--$C91&lt;=--Campaign_Metadata_clean!$C$2),"SummerBeats",
IF(AND(--$C91&gt;=--Campaign_Metadata_clean!$B$3,--$C91&lt;=--Campaign_Metadata_clean!$C$3),"Wrapped2024",
IF(AND(--$C91&gt;=--Campaign_Metadata_clean!$B$4,--$C91&lt;=--Campaign_Metadata_clean!$C$4),"ChillVibes",
IF(AND(--$C91&gt;=--Campaign_Metadata_clean!$B$5,--$C91&lt;=--Campaign_Metadata_clean!$C$5),"IndieWave","No Campaign"))))</f>
        <v>No Campaign</v>
      </c>
      <c r="R91" t="str">
        <f t="shared" si="10"/>
        <v>Before</v>
      </c>
      <c r="S91" t="str">
        <f t="shared" si="11"/>
        <v/>
      </c>
      <c r="X91" s="47" t="str">
        <f>IFERROR(
_xlfn.XLOOKUP(Q91,
Campaign_Metadata_clean!A:A,
Campaign_Metadata_clean!B:B),
"")</f>
        <v/>
      </c>
      <c r="Y91" s="47" t="str">
        <f>IFERROR(
_xlfn.XLOOKUP(Q91,
Campaign_Metadata_clean!A:A,
Campaign_Metadata_clean!C:C),
"")</f>
        <v/>
      </c>
      <c r="Z91">
        <f t="shared" si="13"/>
        <v>0</v>
      </c>
      <c r="AA91">
        <f t="shared" si="14"/>
        <v>0</v>
      </c>
      <c r="AB91">
        <f t="shared" si="15"/>
        <v>0</v>
      </c>
    </row>
    <row r="92" spans="1:28">
      <c r="A92" s="1" t="s">
        <v>131</v>
      </c>
      <c r="B92" s="1" t="s">
        <v>24</v>
      </c>
      <c r="C92" s="46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/>
      <c r="N92" s="13">
        <f t="shared" si="12"/>
        <v>7.8512996756861422E-2</v>
      </c>
      <c r="O92">
        <f t="shared" si="8"/>
        <v>182</v>
      </c>
      <c r="P92">
        <f t="shared" si="9"/>
        <v>1622</v>
      </c>
      <c r="Q92" t="str">
        <f>IF(AND(--$C92&gt;=--Campaign_Metadata_clean!$B$2,--$C92&lt;=--Campaign_Metadata_clean!$C$2),"SummerBeats",
IF(AND(--$C92&gt;=--Campaign_Metadata_clean!$B$3,--$C92&lt;=--Campaign_Metadata_clean!$C$3),"Wrapped2024",
IF(AND(--$C92&gt;=--Campaign_Metadata_clean!$B$4,--$C92&lt;=--Campaign_Metadata_clean!$C$4),"ChillVibes",
IF(AND(--$C92&gt;=--Campaign_Metadata_clean!$B$5,--$C92&lt;=--Campaign_Metadata_clean!$C$5),"IndieWave","No Campaign"))))</f>
        <v>No Campaign</v>
      </c>
      <c r="R92" t="str">
        <f t="shared" si="10"/>
        <v>Other</v>
      </c>
      <c r="S92" t="str">
        <f t="shared" si="11"/>
        <v/>
      </c>
      <c r="X92" s="47" t="str">
        <f>IFERROR(
_xlfn.XLOOKUP(Q92,
Campaign_Metadata_clean!A:A,
Campaign_Metadata_clean!B:B),
"")</f>
        <v/>
      </c>
      <c r="Y92" s="47" t="str">
        <f>IFERROR(
_xlfn.XLOOKUP(Q92,
Campaign_Metadata_clean!A:A,
Campaign_Metadata_clean!C:C),
"")</f>
        <v/>
      </c>
      <c r="Z92">
        <f t="shared" si="13"/>
        <v>0</v>
      </c>
      <c r="AA92">
        <f t="shared" si="14"/>
        <v>0</v>
      </c>
      <c r="AB92">
        <f t="shared" si="15"/>
        <v>0</v>
      </c>
    </row>
    <row r="93" spans="1:28">
      <c r="A93" s="1" t="s">
        <v>132</v>
      </c>
      <c r="B93" s="1" t="s">
        <v>31</v>
      </c>
      <c r="C93" s="46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21</v>
      </c>
      <c r="M93" s="1" t="s">
        <v>45</v>
      </c>
      <c r="N93" s="13">
        <f t="shared" si="12"/>
        <v>7.974671020085089E-2</v>
      </c>
      <c r="O93">
        <f t="shared" si="8"/>
        <v>181</v>
      </c>
      <c r="P93">
        <f t="shared" si="9"/>
        <v>2418</v>
      </c>
      <c r="Q93" t="str">
        <f>IF(AND(--$C93&gt;=--Campaign_Metadata_clean!$B$2,--$C93&lt;=--Campaign_Metadata_clean!$C$2),"SummerBeats",
IF(AND(--$C93&gt;=--Campaign_Metadata_clean!$B$3,--$C93&lt;=--Campaign_Metadata_clean!$C$3),"Wrapped2024",
IF(AND(--$C93&gt;=--Campaign_Metadata_clean!$B$4,--$C93&lt;=--Campaign_Metadata_clean!$C$4),"ChillVibes",
IF(AND(--$C93&gt;=--Campaign_Metadata_clean!$B$5,--$C93&lt;=--Campaign_Metadata_clean!$C$5),"IndieWave","No Campaign"))))</f>
        <v>No Campaign</v>
      </c>
      <c r="R93" t="str">
        <f t="shared" si="10"/>
        <v>Before</v>
      </c>
      <c r="S93" t="str">
        <f t="shared" si="11"/>
        <v/>
      </c>
      <c r="X93" s="47" t="str">
        <f>IFERROR(
_xlfn.XLOOKUP(Q93,
Campaign_Metadata_clean!A:A,
Campaign_Metadata_clean!B:B),
"")</f>
        <v/>
      </c>
      <c r="Y93" s="47" t="str">
        <f>IFERROR(
_xlfn.XLOOKUP(Q93,
Campaign_Metadata_clean!A:A,
Campaign_Metadata_clean!C:C),
"")</f>
        <v/>
      </c>
      <c r="Z93">
        <f t="shared" si="13"/>
        <v>0</v>
      </c>
      <c r="AA93">
        <f t="shared" si="14"/>
        <v>0</v>
      </c>
      <c r="AB93">
        <f t="shared" si="15"/>
        <v>0</v>
      </c>
    </row>
    <row r="94" spans="1:28">
      <c r="A94" s="1" t="s">
        <v>133</v>
      </c>
      <c r="B94" s="1" t="s">
        <v>14</v>
      </c>
      <c r="C94" s="46">
        <v>45351</v>
      </c>
      <c r="D94" s="1" t="s">
        <v>15</v>
      </c>
      <c r="E94" s="1" t="s">
        <v>374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/>
      <c r="N94" s="13">
        <f t="shared" si="12"/>
        <v>6.3999063999063993E-2</v>
      </c>
      <c r="O94">
        <f t="shared" si="8"/>
        <v>214</v>
      </c>
      <c r="P94">
        <f t="shared" si="9"/>
        <v>1641</v>
      </c>
      <c r="Q94" t="str">
        <f>IF(AND(--$C94&gt;=--Campaign_Metadata_clean!$B$2,--$C94&lt;=--Campaign_Metadata_clean!$C$2),"SummerBeats",
IF(AND(--$C94&gt;=--Campaign_Metadata_clean!$B$3,--$C94&lt;=--Campaign_Metadata_clean!$C$3),"Wrapped2024",
IF(AND(--$C94&gt;=--Campaign_Metadata_clean!$B$4,--$C94&lt;=--Campaign_Metadata_clean!$C$4),"ChillVibes",
IF(AND(--$C94&gt;=--Campaign_Metadata_clean!$B$5,--$C94&lt;=--Campaign_Metadata_clean!$C$5),"IndieWave","No Campaign"))))</f>
        <v>No Campaign</v>
      </c>
      <c r="R94" t="str">
        <f t="shared" si="10"/>
        <v>Before</v>
      </c>
      <c r="S94" t="str">
        <f t="shared" si="11"/>
        <v/>
      </c>
      <c r="X94" s="47" t="str">
        <f>IFERROR(
_xlfn.XLOOKUP(Q94,
Campaign_Metadata_clean!A:A,
Campaign_Metadata_clean!B:B),
"")</f>
        <v/>
      </c>
      <c r="Y94" s="47" t="str">
        <f>IFERROR(
_xlfn.XLOOKUP(Q94,
Campaign_Metadata_clean!A:A,
Campaign_Metadata_clean!C:C),
"")</f>
        <v/>
      </c>
      <c r="Z94">
        <f t="shared" si="13"/>
        <v>0</v>
      </c>
      <c r="AA94">
        <f t="shared" si="14"/>
        <v>0</v>
      </c>
      <c r="AB94">
        <f t="shared" si="15"/>
        <v>0</v>
      </c>
    </row>
    <row r="95" spans="1:28">
      <c r="A95" s="1" t="s">
        <v>134</v>
      </c>
      <c r="B95" s="1" t="s">
        <v>24</v>
      </c>
      <c r="C95" s="46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45</v>
      </c>
      <c r="M95" s="1" t="s">
        <v>42</v>
      </c>
      <c r="N95" s="13">
        <f t="shared" si="12"/>
        <v>0.1439786294499264</v>
      </c>
      <c r="O95">
        <f t="shared" si="8"/>
        <v>43</v>
      </c>
      <c r="P95">
        <f t="shared" si="9"/>
        <v>5282</v>
      </c>
      <c r="Q95" t="str">
        <f>IF(AND(--$C95&gt;=--Campaign_Metadata_clean!$B$2,--$C95&lt;=--Campaign_Metadata_clean!$C$2),"SummerBeats",
IF(AND(--$C95&gt;=--Campaign_Metadata_clean!$B$3,--$C95&lt;=--Campaign_Metadata_clean!$C$3),"Wrapped2024",
IF(AND(--$C95&gt;=--Campaign_Metadata_clean!$B$4,--$C95&lt;=--Campaign_Metadata_clean!$C$4),"ChillVibes",
IF(AND(--$C95&gt;=--Campaign_Metadata_clean!$B$5,--$C95&lt;=--Campaign_Metadata_clean!$C$5),"IndieWave","No Campaign"))))</f>
        <v>No Campaign</v>
      </c>
      <c r="R95" t="str">
        <f t="shared" si="10"/>
        <v>Before</v>
      </c>
      <c r="S95" t="str">
        <f t="shared" si="11"/>
        <v/>
      </c>
      <c r="X95" s="47" t="str">
        <f>IFERROR(
_xlfn.XLOOKUP(Q95,
Campaign_Metadata_clean!A:A,
Campaign_Metadata_clean!B:B),
"")</f>
        <v/>
      </c>
      <c r="Y95" s="47" t="str">
        <f>IFERROR(
_xlfn.XLOOKUP(Q95,
Campaign_Metadata_clean!A:A,
Campaign_Metadata_clean!C:C),
"")</f>
        <v/>
      </c>
      <c r="Z95">
        <f t="shared" si="13"/>
        <v>0</v>
      </c>
      <c r="AA95">
        <f t="shared" si="14"/>
        <v>0</v>
      </c>
      <c r="AB95">
        <f t="shared" si="15"/>
        <v>0</v>
      </c>
    </row>
    <row r="96" spans="1:28">
      <c r="A96" s="1" t="s">
        <v>135</v>
      </c>
      <c r="B96" s="1" t="s">
        <v>14</v>
      </c>
      <c r="C96" s="46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/>
      <c r="N96" s="13">
        <f t="shared" si="12"/>
        <v>0.14130742382794076</v>
      </c>
      <c r="O96">
        <f t="shared" si="8"/>
        <v>45</v>
      </c>
      <c r="P96">
        <f t="shared" si="9"/>
        <v>2996</v>
      </c>
      <c r="Q96" t="str">
        <f>IF(AND(--$C96&gt;=--Campaign_Metadata_clean!$B$2,--$C96&lt;=--Campaign_Metadata_clean!$C$2),"SummerBeats",
IF(AND(--$C96&gt;=--Campaign_Metadata_clean!$B$3,--$C96&lt;=--Campaign_Metadata_clean!$C$3),"Wrapped2024",
IF(AND(--$C96&gt;=--Campaign_Metadata_clean!$B$4,--$C96&lt;=--Campaign_Metadata_clean!$C$4),"ChillVibes",
IF(AND(--$C96&gt;=--Campaign_Metadata_clean!$B$5,--$C96&lt;=--Campaign_Metadata_clean!$C$5),"IndieWave","No Campaign"))))</f>
        <v>No Campaign</v>
      </c>
      <c r="R96" t="str">
        <f t="shared" si="10"/>
        <v>Before</v>
      </c>
      <c r="S96" t="str">
        <f t="shared" si="11"/>
        <v/>
      </c>
      <c r="X96" s="47" t="str">
        <f>IFERROR(
_xlfn.XLOOKUP(Q96,
Campaign_Metadata_clean!A:A,
Campaign_Metadata_clean!B:B),
"")</f>
        <v/>
      </c>
      <c r="Y96" s="47" t="str">
        <f>IFERROR(
_xlfn.XLOOKUP(Q96,
Campaign_Metadata_clean!A:A,
Campaign_Metadata_clean!C:C),
"")</f>
        <v/>
      </c>
      <c r="Z96">
        <f t="shared" si="13"/>
        <v>0</v>
      </c>
      <c r="AA96">
        <f t="shared" si="14"/>
        <v>0</v>
      </c>
      <c r="AB96">
        <f t="shared" si="15"/>
        <v>0</v>
      </c>
    </row>
    <row r="97" spans="1:28">
      <c r="A97" s="1" t="s">
        <v>136</v>
      </c>
      <c r="B97" s="1" t="s">
        <v>24</v>
      </c>
      <c r="C97" s="46">
        <v>45367</v>
      </c>
      <c r="D97" s="1" t="s">
        <v>25</v>
      </c>
      <c r="E97" s="1" t="s">
        <v>376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45</v>
      </c>
      <c r="M97" s="1" t="s">
        <v>42</v>
      </c>
      <c r="N97" s="13">
        <f t="shared" si="12"/>
        <v>0.13528464682326713</v>
      </c>
      <c r="O97">
        <f t="shared" si="8"/>
        <v>50</v>
      </c>
      <c r="P97">
        <f t="shared" si="9"/>
        <v>3277</v>
      </c>
      <c r="Q97" t="str">
        <f>IF(AND(--$C97&gt;=--Campaign_Metadata_clean!$B$2,--$C97&lt;=--Campaign_Metadata_clean!$C$2),"SummerBeats",
IF(AND(--$C97&gt;=--Campaign_Metadata_clean!$B$3,--$C97&lt;=--Campaign_Metadata_clean!$C$3),"Wrapped2024",
IF(AND(--$C97&gt;=--Campaign_Metadata_clean!$B$4,--$C97&lt;=--Campaign_Metadata_clean!$C$4),"ChillVibes",
IF(AND(--$C97&gt;=--Campaign_Metadata_clean!$B$5,--$C97&lt;=--Campaign_Metadata_clean!$C$5),"IndieWave","No Campaign"))))</f>
        <v>No Campaign</v>
      </c>
      <c r="R97" t="str">
        <f t="shared" si="10"/>
        <v>Before</v>
      </c>
      <c r="S97" t="str">
        <f t="shared" si="11"/>
        <v/>
      </c>
      <c r="X97" s="47" t="str">
        <f>IFERROR(
_xlfn.XLOOKUP(Q97,
Campaign_Metadata_clean!A:A,
Campaign_Metadata_clean!B:B),
"")</f>
        <v/>
      </c>
      <c r="Y97" s="47" t="str">
        <f>IFERROR(
_xlfn.XLOOKUP(Q97,
Campaign_Metadata_clean!A:A,
Campaign_Metadata_clean!C:C),
"")</f>
        <v/>
      </c>
      <c r="Z97">
        <f t="shared" si="13"/>
        <v>0</v>
      </c>
      <c r="AA97">
        <f t="shared" si="14"/>
        <v>0</v>
      </c>
      <c r="AB97">
        <f t="shared" si="15"/>
        <v>0</v>
      </c>
    </row>
    <row r="98" spans="1:28">
      <c r="A98" s="1" t="s">
        <v>137</v>
      </c>
      <c r="B98" s="1" t="s">
        <v>14</v>
      </c>
      <c r="C98" s="46">
        <v>45317</v>
      </c>
      <c r="D98" s="1" t="s">
        <v>15</v>
      </c>
      <c r="E98" s="1" t="s">
        <v>373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/>
      <c r="N98" s="13">
        <f t="shared" si="12"/>
        <v>0.10550008380623997</v>
      </c>
      <c r="O98">
        <f t="shared" si="8"/>
        <v>96</v>
      </c>
      <c r="P98">
        <f t="shared" si="9"/>
        <v>4406</v>
      </c>
      <c r="Q98" t="str">
        <f>IF(AND(--$C98&gt;=--Campaign_Metadata_clean!$B$2,--$C98&lt;=--Campaign_Metadata_clean!$C$2),"SummerBeats",
IF(AND(--$C98&gt;=--Campaign_Metadata_clean!$B$3,--$C98&lt;=--Campaign_Metadata_clean!$C$3),"Wrapped2024",
IF(AND(--$C98&gt;=--Campaign_Metadata_clean!$B$4,--$C98&lt;=--Campaign_Metadata_clean!$C$4),"ChillVibes",
IF(AND(--$C98&gt;=--Campaign_Metadata_clean!$B$5,--$C98&lt;=--Campaign_Metadata_clean!$C$5),"IndieWave","No Campaign"))))</f>
        <v>No Campaign</v>
      </c>
      <c r="R98" t="str">
        <f t="shared" si="10"/>
        <v>Before</v>
      </c>
      <c r="S98" t="str">
        <f t="shared" si="11"/>
        <v/>
      </c>
      <c r="X98" s="47" t="str">
        <f>IFERROR(
_xlfn.XLOOKUP(Q98,
Campaign_Metadata_clean!A:A,
Campaign_Metadata_clean!B:B),
"")</f>
        <v/>
      </c>
      <c r="Y98" s="47" t="str">
        <f>IFERROR(
_xlfn.XLOOKUP(Q98,
Campaign_Metadata_clean!A:A,
Campaign_Metadata_clean!C:C),
"")</f>
        <v/>
      </c>
      <c r="Z98">
        <f t="shared" si="13"/>
        <v>0</v>
      </c>
      <c r="AA98">
        <f t="shared" si="14"/>
        <v>0</v>
      </c>
      <c r="AB98">
        <f t="shared" si="15"/>
        <v>0</v>
      </c>
    </row>
    <row r="99" spans="1:28">
      <c r="A99" s="1" t="s">
        <v>138</v>
      </c>
      <c r="B99" s="1" t="s">
        <v>24</v>
      </c>
      <c r="C99" s="46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21</v>
      </c>
      <c r="M99" s="1" t="s">
        <v>377</v>
      </c>
      <c r="N99" s="13">
        <f t="shared" si="12"/>
        <v>9.4690354648038683E-2</v>
      </c>
      <c r="O99">
        <f t="shared" si="8"/>
        <v>121</v>
      </c>
      <c r="P99">
        <f t="shared" si="9"/>
        <v>5639</v>
      </c>
      <c r="Q99" t="str">
        <f>IF(AND(--$C99&gt;=--Campaign_Metadata_clean!$B$2,--$C99&lt;=--Campaign_Metadata_clean!$C$2),"SummerBeats",
IF(AND(--$C99&gt;=--Campaign_Metadata_clean!$B$3,--$C99&lt;=--Campaign_Metadata_clean!$C$3),"Wrapped2024",
IF(AND(--$C99&gt;=--Campaign_Metadata_clean!$B$4,--$C99&lt;=--Campaign_Metadata_clean!$C$4),"ChillVibes",
IF(AND(--$C99&gt;=--Campaign_Metadata_clean!$B$5,--$C99&lt;=--Campaign_Metadata_clean!$C$5),"IndieWave","No Campaign"))))</f>
        <v>No Campaign</v>
      </c>
      <c r="R99" t="str">
        <f t="shared" si="10"/>
        <v>Before</v>
      </c>
      <c r="S99" t="str">
        <f t="shared" si="11"/>
        <v/>
      </c>
      <c r="X99" s="47" t="str">
        <f>IFERROR(
_xlfn.XLOOKUP(Q99,
Campaign_Metadata_clean!A:A,
Campaign_Metadata_clean!B:B),
"")</f>
        <v/>
      </c>
      <c r="Y99" s="47" t="str">
        <f>IFERROR(
_xlfn.XLOOKUP(Q99,
Campaign_Metadata_clean!A:A,
Campaign_Metadata_clean!C:C),
"")</f>
        <v/>
      </c>
      <c r="Z99">
        <f t="shared" si="13"/>
        <v>0</v>
      </c>
      <c r="AA99">
        <f t="shared" si="14"/>
        <v>0</v>
      </c>
      <c r="AB99">
        <f t="shared" si="15"/>
        <v>0</v>
      </c>
    </row>
    <row r="100" spans="1:28">
      <c r="A100" s="1" t="s">
        <v>139</v>
      </c>
      <c r="B100" s="1" t="s">
        <v>24</v>
      </c>
      <c r="C100" s="46">
        <v>45580</v>
      </c>
      <c r="D100" s="1" t="s">
        <v>15</v>
      </c>
      <c r="E100" s="1" t="s">
        <v>376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/>
      <c r="N100" s="13">
        <f t="shared" si="12"/>
        <v>6.934441139598338E-2</v>
      </c>
      <c r="O100">
        <f t="shared" si="8"/>
        <v>205</v>
      </c>
      <c r="P100">
        <f t="shared" si="9"/>
        <v>2821</v>
      </c>
      <c r="Q100" t="str">
        <f>IF(AND(--$C100&gt;=--Campaign_Metadata_clean!$B$2,--$C100&lt;=--Campaign_Metadata_clean!$C$2),"SummerBeats",
IF(AND(--$C100&gt;=--Campaign_Metadata_clean!$B$3,--$C100&lt;=--Campaign_Metadata_clean!$C$3),"Wrapped2024",
IF(AND(--$C100&gt;=--Campaign_Metadata_clean!$B$4,--$C100&lt;=--Campaign_Metadata_clean!$C$4),"ChillVibes",
IF(AND(--$C100&gt;=--Campaign_Metadata_clean!$B$5,--$C100&lt;=--Campaign_Metadata_clean!$C$5),"IndieWave","No Campaign"))))</f>
        <v>No Campaign</v>
      </c>
      <c r="R100" t="str">
        <f t="shared" si="10"/>
        <v>Before</v>
      </c>
      <c r="S100" t="str">
        <f t="shared" si="11"/>
        <v/>
      </c>
      <c r="X100" s="47" t="str">
        <f>IFERROR(
_xlfn.XLOOKUP(Q100,
Campaign_Metadata_clean!A:A,
Campaign_Metadata_clean!B:B),
"")</f>
        <v/>
      </c>
      <c r="Y100" s="47" t="str">
        <f>IFERROR(
_xlfn.XLOOKUP(Q100,
Campaign_Metadata_clean!A:A,
Campaign_Metadata_clean!C:C),
"")</f>
        <v/>
      </c>
      <c r="Z100">
        <f t="shared" si="13"/>
        <v>0</v>
      </c>
      <c r="AA100">
        <f t="shared" si="14"/>
        <v>0</v>
      </c>
      <c r="AB100">
        <f t="shared" si="15"/>
        <v>0</v>
      </c>
    </row>
    <row r="101" spans="1:28">
      <c r="A101" s="1" t="s">
        <v>140</v>
      </c>
      <c r="B101" s="1" t="s">
        <v>14</v>
      </c>
      <c r="C101" s="46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/>
      <c r="N101" s="13">
        <f t="shared" si="12"/>
        <v>0.10077583818232197</v>
      </c>
      <c r="O101">
        <f t="shared" si="8"/>
        <v>107</v>
      </c>
      <c r="P101">
        <f t="shared" si="9"/>
        <v>3637</v>
      </c>
      <c r="Q101" t="str">
        <f>IF(AND(--$C101&gt;=--Campaign_Metadata_clean!$B$2,--$C101&lt;=--Campaign_Metadata_clean!$C$2),"SummerBeats",
IF(AND(--$C101&gt;=--Campaign_Metadata_clean!$B$3,--$C101&lt;=--Campaign_Metadata_clean!$C$3),"Wrapped2024",
IF(AND(--$C101&gt;=--Campaign_Metadata_clean!$B$4,--$C101&lt;=--Campaign_Metadata_clean!$C$4),"ChillVibes",
IF(AND(--$C101&gt;=--Campaign_Metadata_clean!$B$5,--$C101&lt;=--Campaign_Metadata_clean!$C$5),"IndieWave","No Campaign"))))</f>
        <v>No Campaign</v>
      </c>
      <c r="R101" t="str">
        <f t="shared" si="10"/>
        <v>Before</v>
      </c>
      <c r="S101" t="str">
        <f t="shared" si="11"/>
        <v/>
      </c>
      <c r="X101" s="47" t="str">
        <f>IFERROR(
_xlfn.XLOOKUP(Q101,
Campaign_Metadata_clean!A:A,
Campaign_Metadata_clean!B:B),
"")</f>
        <v/>
      </c>
      <c r="Y101" s="47" t="str">
        <f>IFERROR(
_xlfn.XLOOKUP(Q101,
Campaign_Metadata_clean!A:A,
Campaign_Metadata_clean!C:C),
"")</f>
        <v/>
      </c>
      <c r="Z101">
        <f t="shared" si="13"/>
        <v>0</v>
      </c>
      <c r="AA101">
        <f t="shared" si="14"/>
        <v>0</v>
      </c>
      <c r="AB101">
        <f t="shared" si="15"/>
        <v>0</v>
      </c>
    </row>
    <row r="102" spans="1:28">
      <c r="A102" s="1" t="s">
        <v>141</v>
      </c>
      <c r="B102" s="1" t="s">
        <v>24</v>
      </c>
      <c r="C102" s="46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/>
      <c r="N102" s="13">
        <f t="shared" si="12"/>
        <v>8.2866791077934779E-2</v>
      </c>
      <c r="O102">
        <f t="shared" si="8"/>
        <v>165</v>
      </c>
      <c r="P102">
        <f t="shared" si="9"/>
        <v>3730</v>
      </c>
      <c r="Q102" t="str">
        <f>IF(AND(--$C102&gt;=--Campaign_Metadata_clean!$B$2,--$C102&lt;=--Campaign_Metadata_clean!$C$2),"SummerBeats",
IF(AND(--$C102&gt;=--Campaign_Metadata_clean!$B$3,--$C102&lt;=--Campaign_Metadata_clean!$C$3),"Wrapped2024",
IF(AND(--$C102&gt;=--Campaign_Metadata_clean!$B$4,--$C102&lt;=--Campaign_Metadata_clean!$C$4),"ChillVibes",
IF(AND(--$C102&gt;=--Campaign_Metadata_clean!$B$5,--$C102&lt;=--Campaign_Metadata_clean!$C$5),"IndieWave","No Campaign"))))</f>
        <v>No Campaign</v>
      </c>
      <c r="R102" t="str">
        <f t="shared" si="10"/>
        <v>Before</v>
      </c>
      <c r="S102" t="str">
        <f t="shared" si="11"/>
        <v/>
      </c>
      <c r="X102" s="47" t="str">
        <f>IFERROR(
_xlfn.XLOOKUP(Q102,
Campaign_Metadata_clean!A:A,
Campaign_Metadata_clean!B:B),
"")</f>
        <v/>
      </c>
      <c r="Y102" s="47" t="str">
        <f>IFERROR(
_xlfn.XLOOKUP(Q102,
Campaign_Metadata_clean!A:A,
Campaign_Metadata_clean!C:C),
"")</f>
        <v/>
      </c>
      <c r="Z102">
        <f t="shared" si="13"/>
        <v>0</v>
      </c>
      <c r="AA102">
        <f t="shared" si="14"/>
        <v>0</v>
      </c>
      <c r="AB102">
        <f t="shared" si="15"/>
        <v>0</v>
      </c>
    </row>
    <row r="103" spans="1:28">
      <c r="A103" s="1" t="s">
        <v>142</v>
      </c>
      <c r="B103" s="1" t="s">
        <v>24</v>
      </c>
      <c r="C103" s="46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/>
      <c r="N103" s="13">
        <f t="shared" si="12"/>
        <v>0.14485195154777927</v>
      </c>
      <c r="O103">
        <f t="shared" si="8"/>
        <v>41</v>
      </c>
      <c r="P103">
        <f t="shared" si="9"/>
        <v>3444</v>
      </c>
      <c r="Q103" t="str">
        <f>IF(AND(--$C103&gt;=--Campaign_Metadata_clean!$B$2,--$C103&lt;=--Campaign_Metadata_clean!$C$2),"SummerBeats",
IF(AND(--$C103&gt;=--Campaign_Metadata_clean!$B$3,--$C103&lt;=--Campaign_Metadata_clean!$C$3),"Wrapped2024",
IF(AND(--$C103&gt;=--Campaign_Metadata_clean!$B$4,--$C103&lt;=--Campaign_Metadata_clean!$C$4),"ChillVibes",
IF(AND(--$C103&gt;=--Campaign_Metadata_clean!$B$5,--$C103&lt;=--Campaign_Metadata_clean!$C$5),"IndieWave","No Campaign"))))</f>
        <v>No Campaign</v>
      </c>
      <c r="R103" t="str">
        <f t="shared" si="10"/>
        <v>Before</v>
      </c>
      <c r="S103" t="str">
        <f t="shared" si="11"/>
        <v/>
      </c>
      <c r="X103" s="47" t="str">
        <f>IFERROR(
_xlfn.XLOOKUP(Q103,
Campaign_Metadata_clean!A:A,
Campaign_Metadata_clean!B:B),
"")</f>
        <v/>
      </c>
      <c r="Y103" s="47" t="str">
        <f>IFERROR(
_xlfn.XLOOKUP(Q103,
Campaign_Metadata_clean!A:A,
Campaign_Metadata_clean!C:C),
"")</f>
        <v/>
      </c>
      <c r="Z103">
        <f t="shared" si="13"/>
        <v>0</v>
      </c>
      <c r="AA103">
        <f t="shared" si="14"/>
        <v>0</v>
      </c>
      <c r="AB103">
        <f t="shared" si="15"/>
        <v>0</v>
      </c>
    </row>
    <row r="104" spans="1:28">
      <c r="A104" s="1" t="s">
        <v>143</v>
      </c>
      <c r="B104" s="1" t="s">
        <v>14</v>
      </c>
      <c r="C104" s="46">
        <v>45336</v>
      </c>
      <c r="D104" s="1" t="s">
        <v>15</v>
      </c>
      <c r="E104" s="1" t="s">
        <v>375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45</v>
      </c>
      <c r="M104" s="1" t="s">
        <v>42</v>
      </c>
      <c r="N104" s="13">
        <f t="shared" si="12"/>
        <v>6.6614370881706936E-2</v>
      </c>
      <c r="O104">
        <f t="shared" si="8"/>
        <v>208</v>
      </c>
      <c r="P104">
        <f t="shared" si="9"/>
        <v>2123</v>
      </c>
      <c r="Q104" t="str">
        <f>IF(AND(--$C104&gt;=--Campaign_Metadata_clean!$B$2,--$C104&lt;=--Campaign_Metadata_clean!$C$2),"SummerBeats",
IF(AND(--$C104&gt;=--Campaign_Metadata_clean!$B$3,--$C104&lt;=--Campaign_Metadata_clean!$C$3),"Wrapped2024",
IF(AND(--$C104&gt;=--Campaign_Metadata_clean!$B$4,--$C104&lt;=--Campaign_Metadata_clean!$C$4),"ChillVibes",
IF(AND(--$C104&gt;=--Campaign_Metadata_clean!$B$5,--$C104&lt;=--Campaign_Metadata_clean!$C$5),"IndieWave","No Campaign"))))</f>
        <v>No Campaign</v>
      </c>
      <c r="R104" t="str">
        <f t="shared" si="10"/>
        <v>Before</v>
      </c>
      <c r="S104" t="str">
        <f t="shared" si="11"/>
        <v/>
      </c>
      <c r="X104" s="47" t="str">
        <f>IFERROR(
_xlfn.XLOOKUP(Q104,
Campaign_Metadata_clean!A:A,
Campaign_Metadata_clean!B:B),
"")</f>
        <v/>
      </c>
      <c r="Y104" s="47" t="str">
        <f>IFERROR(
_xlfn.XLOOKUP(Q104,
Campaign_Metadata_clean!A:A,
Campaign_Metadata_clean!C:C),
"")</f>
        <v/>
      </c>
      <c r="Z104">
        <f t="shared" si="13"/>
        <v>0</v>
      </c>
      <c r="AA104">
        <f t="shared" si="14"/>
        <v>0</v>
      </c>
      <c r="AB104">
        <f t="shared" si="15"/>
        <v>0</v>
      </c>
    </row>
    <row r="105" spans="1:28">
      <c r="A105" s="1" t="s">
        <v>144</v>
      </c>
      <c r="B105" s="1" t="s">
        <v>24</v>
      </c>
      <c r="C105" s="46">
        <v>45413</v>
      </c>
      <c r="D105" s="1" t="s">
        <v>25</v>
      </c>
      <c r="E105" s="1" t="s">
        <v>373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21</v>
      </c>
      <c r="M105" s="1" t="s">
        <v>377</v>
      </c>
      <c r="N105" s="13">
        <f t="shared" si="12"/>
        <v>8.8705674736667947E-2</v>
      </c>
      <c r="O105">
        <f t="shared" si="8"/>
        <v>140</v>
      </c>
      <c r="P105">
        <f t="shared" si="9"/>
        <v>3217</v>
      </c>
      <c r="Q105" t="str">
        <f>IF(AND(--$C105&gt;=--Campaign_Metadata_clean!$B$2,--$C105&lt;=--Campaign_Metadata_clean!$C$2),"SummerBeats",
IF(AND(--$C105&gt;=--Campaign_Metadata_clean!$B$3,--$C105&lt;=--Campaign_Metadata_clean!$C$3),"Wrapped2024",
IF(AND(--$C105&gt;=--Campaign_Metadata_clean!$B$4,--$C105&lt;=--Campaign_Metadata_clean!$C$4),"ChillVibes",
IF(AND(--$C105&gt;=--Campaign_Metadata_clean!$B$5,--$C105&lt;=--Campaign_Metadata_clean!$C$5),"IndieWave","No Campaign"))))</f>
        <v>No Campaign</v>
      </c>
      <c r="R105" t="str">
        <f t="shared" si="10"/>
        <v>Before</v>
      </c>
      <c r="S105" t="str">
        <f t="shared" si="11"/>
        <v/>
      </c>
      <c r="X105" s="47" t="str">
        <f>IFERROR(
_xlfn.XLOOKUP(Q105,
Campaign_Metadata_clean!A:A,
Campaign_Metadata_clean!B:B),
"")</f>
        <v/>
      </c>
      <c r="Y105" s="47" t="str">
        <f>IFERROR(
_xlfn.XLOOKUP(Q105,
Campaign_Metadata_clean!A:A,
Campaign_Metadata_clean!C:C),
"")</f>
        <v/>
      </c>
      <c r="Z105">
        <f t="shared" si="13"/>
        <v>0</v>
      </c>
      <c r="AA105">
        <f t="shared" si="14"/>
        <v>0</v>
      </c>
      <c r="AB105">
        <f t="shared" si="15"/>
        <v>0</v>
      </c>
    </row>
    <row r="106" spans="1:28">
      <c r="A106" s="1" t="s">
        <v>145</v>
      </c>
      <c r="B106" s="1" t="s">
        <v>24</v>
      </c>
      <c r="C106" s="46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/>
      <c r="N106" s="13">
        <f t="shared" si="12"/>
        <v>6.2084853138798232E-2</v>
      </c>
      <c r="O106">
        <f t="shared" si="8"/>
        <v>218</v>
      </c>
      <c r="P106">
        <f t="shared" si="9"/>
        <v>3234</v>
      </c>
      <c r="Q106" t="str">
        <f>IF(AND(--$C106&gt;=--Campaign_Metadata_clean!$B$2,--$C106&lt;=--Campaign_Metadata_clean!$C$2),"SummerBeats",
IF(AND(--$C106&gt;=--Campaign_Metadata_clean!$B$3,--$C106&lt;=--Campaign_Metadata_clean!$C$3),"Wrapped2024",
IF(AND(--$C106&gt;=--Campaign_Metadata_clean!$B$4,--$C106&lt;=--Campaign_Metadata_clean!$C$4),"ChillVibes",
IF(AND(--$C106&gt;=--Campaign_Metadata_clean!$B$5,--$C106&lt;=--Campaign_Metadata_clean!$C$5),"IndieWave","No Campaign"))))</f>
        <v>No Campaign</v>
      </c>
      <c r="R106" t="str">
        <f t="shared" si="10"/>
        <v>Before</v>
      </c>
      <c r="S106" t="str">
        <f t="shared" si="11"/>
        <v/>
      </c>
      <c r="X106" s="47" t="str">
        <f>IFERROR(
_xlfn.XLOOKUP(Q106,
Campaign_Metadata_clean!A:A,
Campaign_Metadata_clean!B:B),
"")</f>
        <v/>
      </c>
      <c r="Y106" s="47" t="str">
        <f>IFERROR(
_xlfn.XLOOKUP(Q106,
Campaign_Metadata_clean!A:A,
Campaign_Metadata_clean!C:C),
"")</f>
        <v/>
      </c>
      <c r="Z106">
        <f t="shared" si="13"/>
        <v>0</v>
      </c>
      <c r="AA106">
        <f t="shared" si="14"/>
        <v>0</v>
      </c>
      <c r="AB106">
        <f t="shared" si="15"/>
        <v>0</v>
      </c>
    </row>
    <row r="107" spans="1:28">
      <c r="A107" s="1" t="s">
        <v>146</v>
      </c>
      <c r="B107" s="1" t="s">
        <v>24</v>
      </c>
      <c r="C107" s="46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45</v>
      </c>
      <c r="M107" s="1" t="s">
        <v>42</v>
      </c>
      <c r="N107" s="13">
        <f t="shared" si="12"/>
        <v>0.23193025217961938</v>
      </c>
      <c r="O107">
        <f t="shared" si="8"/>
        <v>2</v>
      </c>
      <c r="P107">
        <f t="shared" si="9"/>
        <v>4948</v>
      </c>
      <c r="Q107" t="str">
        <f>IF(AND(--$C107&gt;=--Campaign_Metadata_clean!$B$2,--$C107&lt;=--Campaign_Metadata_clean!$C$2),"SummerBeats",
IF(AND(--$C107&gt;=--Campaign_Metadata_clean!$B$3,--$C107&lt;=--Campaign_Metadata_clean!$C$3),"Wrapped2024",
IF(AND(--$C107&gt;=--Campaign_Metadata_clean!$B$4,--$C107&lt;=--Campaign_Metadata_clean!$C$4),"ChillVibes",
IF(AND(--$C107&gt;=--Campaign_Metadata_clean!$B$5,--$C107&lt;=--Campaign_Metadata_clean!$C$5),"IndieWave","No Campaign"))))</f>
        <v>ChillVibes</v>
      </c>
      <c r="R107" t="str">
        <f t="shared" si="10"/>
        <v>During</v>
      </c>
      <c r="S107" t="str">
        <f t="shared" si="11"/>
        <v>During</v>
      </c>
      <c r="X107" s="47">
        <f>IFERROR(
_xlfn.XLOOKUP(Q107,
Campaign_Metadata_clean!A:A,
Campaign_Metadata_clean!B:B),
"")</f>
        <v>45667</v>
      </c>
      <c r="Y107" s="47">
        <f>IFERROR(
_xlfn.XLOOKUP(Q107,
Campaign_Metadata_clean!A:A,
Campaign_Metadata_clean!C:C),
"")</f>
        <v>45698</v>
      </c>
      <c r="Z107">
        <f t="shared" si="13"/>
        <v>0.10086311618757582</v>
      </c>
      <c r="AA107">
        <f t="shared" si="14"/>
        <v>0.10541160412718438</v>
      </c>
      <c r="AB107">
        <f t="shared" ca="1" si="15"/>
        <v>0</v>
      </c>
    </row>
    <row r="108" spans="1:28">
      <c r="A108" s="1" t="s">
        <v>147</v>
      </c>
      <c r="B108" s="1" t="s">
        <v>24</v>
      </c>
      <c r="C108" s="46">
        <v>45670</v>
      </c>
      <c r="D108" s="1" t="s">
        <v>15</v>
      </c>
      <c r="E108" s="1" t="s">
        <v>375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/>
      <c r="N108" s="13">
        <f t="shared" si="12"/>
        <v>8.6598679355949518E-2</v>
      </c>
      <c r="O108">
        <f t="shared" si="8"/>
        <v>149</v>
      </c>
      <c r="P108">
        <f t="shared" si="9"/>
        <v>4577</v>
      </c>
      <c r="Q108" t="str">
        <f>IF(AND(--$C108&gt;=--Campaign_Metadata_clean!$B$2,--$C108&lt;=--Campaign_Metadata_clean!$C$2),"SummerBeats",
IF(AND(--$C108&gt;=--Campaign_Metadata_clean!$B$3,--$C108&lt;=--Campaign_Metadata_clean!$C$3),"Wrapped2024",
IF(AND(--$C108&gt;=--Campaign_Metadata_clean!$B$4,--$C108&lt;=--Campaign_Metadata_clean!$C$4),"ChillVibes",
IF(AND(--$C108&gt;=--Campaign_Metadata_clean!$B$5,--$C108&lt;=--Campaign_Metadata_clean!$C$5),"IndieWave","No Campaign"))))</f>
        <v>ChillVibes</v>
      </c>
      <c r="R108" t="str">
        <f t="shared" si="10"/>
        <v>During</v>
      </c>
      <c r="S108" t="str">
        <f t="shared" si="11"/>
        <v>During</v>
      </c>
      <c r="X108" s="47">
        <f>IFERROR(
_xlfn.XLOOKUP(Q108,
Campaign_Metadata_clean!A:A,
Campaign_Metadata_clean!B:B),
"")</f>
        <v>45667</v>
      </c>
      <c r="Y108" s="47">
        <f>IFERROR(
_xlfn.XLOOKUP(Q108,
Campaign_Metadata_clean!A:A,
Campaign_Metadata_clean!C:C),
"")</f>
        <v>45698</v>
      </c>
      <c r="Z108">
        <f t="shared" si="13"/>
        <v>0.10086311618757582</v>
      </c>
      <c r="AA108">
        <f t="shared" si="14"/>
        <v>0.10541160412718438</v>
      </c>
      <c r="AB108">
        <f t="shared" ca="1" si="15"/>
        <v>0</v>
      </c>
    </row>
    <row r="109" spans="1:28">
      <c r="A109" s="1" t="s">
        <v>148</v>
      </c>
      <c r="B109" s="1" t="s">
        <v>31</v>
      </c>
      <c r="C109" s="46">
        <v>45542</v>
      </c>
      <c r="D109" s="1" t="s">
        <v>57</v>
      </c>
      <c r="E109" s="1" t="s">
        <v>375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21</v>
      </c>
      <c r="M109" s="1" t="s">
        <v>45</v>
      </c>
      <c r="N109" s="13">
        <f t="shared" si="12"/>
        <v>0.10949965468790931</v>
      </c>
      <c r="O109">
        <f t="shared" si="8"/>
        <v>85</v>
      </c>
      <c r="P109">
        <f t="shared" si="9"/>
        <v>4598</v>
      </c>
      <c r="Q109" t="str">
        <f>IF(AND(--$C109&gt;=--Campaign_Metadata_clean!$B$2,--$C109&lt;=--Campaign_Metadata_clean!$C$2),"SummerBeats",
IF(AND(--$C109&gt;=--Campaign_Metadata_clean!$B$3,--$C109&lt;=--Campaign_Metadata_clean!$C$3),"Wrapped2024",
IF(AND(--$C109&gt;=--Campaign_Metadata_clean!$B$4,--$C109&lt;=--Campaign_Metadata_clean!$C$4),"ChillVibes",
IF(AND(--$C109&gt;=--Campaign_Metadata_clean!$B$5,--$C109&lt;=--Campaign_Metadata_clean!$C$5),"IndieWave","No Campaign"))))</f>
        <v>No Campaign</v>
      </c>
      <c r="R109" t="str">
        <f t="shared" si="10"/>
        <v>Before</v>
      </c>
      <c r="S109" t="str">
        <f t="shared" si="11"/>
        <v/>
      </c>
      <c r="X109" s="47" t="str">
        <f>IFERROR(
_xlfn.XLOOKUP(Q109,
Campaign_Metadata_clean!A:A,
Campaign_Metadata_clean!B:B),
"")</f>
        <v/>
      </c>
      <c r="Y109" s="47" t="str">
        <f>IFERROR(
_xlfn.XLOOKUP(Q109,
Campaign_Metadata_clean!A:A,
Campaign_Metadata_clean!C:C),
"")</f>
        <v/>
      </c>
      <c r="Z109">
        <f t="shared" si="13"/>
        <v>0</v>
      </c>
      <c r="AA109">
        <f t="shared" si="14"/>
        <v>0</v>
      </c>
      <c r="AB109">
        <f t="shared" si="15"/>
        <v>0</v>
      </c>
    </row>
    <row r="110" spans="1:28">
      <c r="A110" s="1" t="s">
        <v>149</v>
      </c>
      <c r="B110" s="1" t="s">
        <v>14</v>
      </c>
      <c r="C110" s="46">
        <v>45617</v>
      </c>
      <c r="D110" s="1" t="s">
        <v>15</v>
      </c>
      <c r="E110" s="1" t="s">
        <v>375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45</v>
      </c>
      <c r="M110" s="1" t="s">
        <v>42</v>
      </c>
      <c r="N110" s="13">
        <f t="shared" si="12"/>
        <v>0.13838335084182732</v>
      </c>
      <c r="O110">
        <f t="shared" si="8"/>
        <v>49</v>
      </c>
      <c r="P110">
        <f t="shared" si="9"/>
        <v>4874</v>
      </c>
      <c r="Q110" t="str">
        <f>IF(AND(--$C110&gt;=--Campaign_Metadata_clean!$B$2,--$C110&lt;=--Campaign_Metadata_clean!$C$2),"SummerBeats",
IF(AND(--$C110&gt;=--Campaign_Metadata_clean!$B$3,--$C110&lt;=--Campaign_Metadata_clean!$C$3),"Wrapped2024",
IF(AND(--$C110&gt;=--Campaign_Metadata_clean!$B$4,--$C110&lt;=--Campaign_Metadata_clean!$C$4),"ChillVibes",
IF(AND(--$C110&gt;=--Campaign_Metadata_clean!$B$5,--$C110&lt;=--Campaign_Metadata_clean!$C$5),"IndieWave","No Campaign"))))</f>
        <v>No Campaign</v>
      </c>
      <c r="R110" t="str">
        <f t="shared" si="10"/>
        <v>Before</v>
      </c>
      <c r="S110" t="str">
        <f t="shared" si="11"/>
        <v/>
      </c>
      <c r="X110" s="47" t="str">
        <f>IFERROR(
_xlfn.XLOOKUP(Q110,
Campaign_Metadata_clean!A:A,
Campaign_Metadata_clean!B:B),
"")</f>
        <v/>
      </c>
      <c r="Y110" s="47" t="str">
        <f>IFERROR(
_xlfn.XLOOKUP(Q110,
Campaign_Metadata_clean!A:A,
Campaign_Metadata_clean!C:C),
"")</f>
        <v/>
      </c>
      <c r="Z110">
        <f t="shared" si="13"/>
        <v>0</v>
      </c>
      <c r="AA110">
        <f t="shared" si="14"/>
        <v>0</v>
      </c>
      <c r="AB110">
        <f t="shared" si="15"/>
        <v>0</v>
      </c>
    </row>
    <row r="111" spans="1:28">
      <c r="A111" s="1" t="s">
        <v>150</v>
      </c>
      <c r="B111" s="1" t="s">
        <v>14</v>
      </c>
      <c r="C111" s="46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/>
      <c r="N111" s="13">
        <f t="shared" si="12"/>
        <v>0.16033389770445328</v>
      </c>
      <c r="O111">
        <f t="shared" si="8"/>
        <v>29</v>
      </c>
      <c r="P111">
        <f t="shared" si="9"/>
        <v>4072</v>
      </c>
      <c r="Q111" t="str">
        <f>IF(AND(--$C111&gt;=--Campaign_Metadata_clean!$B$2,--$C111&lt;=--Campaign_Metadata_clean!$C$2),"SummerBeats",
IF(AND(--$C111&gt;=--Campaign_Metadata_clean!$B$3,--$C111&lt;=--Campaign_Metadata_clean!$C$3),"Wrapped2024",
IF(AND(--$C111&gt;=--Campaign_Metadata_clean!$B$4,--$C111&lt;=--Campaign_Metadata_clean!$C$4),"ChillVibes",
IF(AND(--$C111&gt;=--Campaign_Metadata_clean!$B$5,--$C111&lt;=--Campaign_Metadata_clean!$C$5),"IndieWave","No Campaign"))))</f>
        <v>SummerBeats</v>
      </c>
      <c r="R111" t="str">
        <f t="shared" si="10"/>
        <v>Before</v>
      </c>
      <c r="S111" t="str">
        <f t="shared" si="11"/>
        <v>During</v>
      </c>
      <c r="X111" s="47">
        <f>IFERROR(
_xlfn.XLOOKUP(Q111,
Campaign_Metadata_clean!A:A,
Campaign_Metadata_clean!B:B),
"")</f>
        <v>45458</v>
      </c>
      <c r="Y111" s="47">
        <f>IFERROR(
_xlfn.XLOOKUP(Q111,
Campaign_Metadata_clean!A:A,
Campaign_Metadata_clean!C:C),
"")</f>
        <v>45488</v>
      </c>
      <c r="Z111">
        <f t="shared" si="13"/>
        <v>7.7477551774674469E-2</v>
      </c>
      <c r="AA111">
        <f t="shared" si="14"/>
        <v>9.67495057607137E-2</v>
      </c>
      <c r="AB111">
        <f t="shared" ca="1" si="15"/>
        <v>0</v>
      </c>
    </row>
    <row r="112" spans="1:28">
      <c r="A112" s="1" t="s">
        <v>151</v>
      </c>
      <c r="B112" s="1" t="s">
        <v>31</v>
      </c>
      <c r="C112" s="46">
        <v>45493</v>
      </c>
      <c r="D112" s="1" t="s">
        <v>57</v>
      </c>
      <c r="E112" s="1" t="s">
        <v>375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21</v>
      </c>
      <c r="M112" s="1" t="s">
        <v>45</v>
      </c>
      <c r="N112" s="13">
        <f t="shared" si="12"/>
        <v>0.16641897515158721</v>
      </c>
      <c r="O112">
        <f t="shared" si="8"/>
        <v>20</v>
      </c>
      <c r="P112">
        <f t="shared" si="9"/>
        <v>5599</v>
      </c>
      <c r="Q112" t="str">
        <f>IF(AND(--$C112&gt;=--Campaign_Metadata_clean!$B$2,--$C112&lt;=--Campaign_Metadata_clean!$C$2),"SummerBeats",
IF(AND(--$C112&gt;=--Campaign_Metadata_clean!$B$3,--$C112&lt;=--Campaign_Metadata_clean!$C$3),"Wrapped2024",
IF(AND(--$C112&gt;=--Campaign_Metadata_clean!$B$4,--$C112&lt;=--Campaign_Metadata_clean!$C$4),"ChillVibes",
IF(AND(--$C112&gt;=--Campaign_Metadata_clean!$B$5,--$C112&lt;=--Campaign_Metadata_clean!$C$5),"IndieWave","No Campaign"))))</f>
        <v>No Campaign</v>
      </c>
      <c r="R112" t="str">
        <f t="shared" si="10"/>
        <v>Before</v>
      </c>
      <c r="S112" t="str">
        <f t="shared" si="11"/>
        <v/>
      </c>
      <c r="X112" s="47" t="str">
        <f>IFERROR(
_xlfn.XLOOKUP(Q112,
Campaign_Metadata_clean!A:A,
Campaign_Metadata_clean!B:B),
"")</f>
        <v/>
      </c>
      <c r="Y112" s="47" t="str">
        <f>IFERROR(
_xlfn.XLOOKUP(Q112,
Campaign_Metadata_clean!A:A,
Campaign_Metadata_clean!C:C),
"")</f>
        <v/>
      </c>
      <c r="Z112">
        <f t="shared" si="13"/>
        <v>0</v>
      </c>
      <c r="AA112">
        <f t="shared" si="14"/>
        <v>0</v>
      </c>
      <c r="AB112">
        <f t="shared" si="15"/>
        <v>0</v>
      </c>
    </row>
    <row r="113" spans="1:28">
      <c r="A113" s="1" t="s">
        <v>152</v>
      </c>
      <c r="B113" s="1" t="s">
        <v>14</v>
      </c>
      <c r="C113" s="46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45</v>
      </c>
      <c r="M113" s="1" t="s">
        <v>42</v>
      </c>
      <c r="N113" s="13">
        <f t="shared" si="12"/>
        <v>5.2993862995521647E-2</v>
      </c>
      <c r="O113">
        <f t="shared" si="8"/>
        <v>243</v>
      </c>
      <c r="P113">
        <f t="shared" si="9"/>
        <v>1917</v>
      </c>
      <c r="Q113" t="str">
        <f>IF(AND(--$C113&gt;=--Campaign_Metadata_clean!$B$2,--$C113&lt;=--Campaign_Metadata_clean!$C$2),"SummerBeats",
IF(AND(--$C113&gt;=--Campaign_Metadata_clean!$B$3,--$C113&lt;=--Campaign_Metadata_clean!$C$3),"Wrapped2024",
IF(AND(--$C113&gt;=--Campaign_Metadata_clean!$B$4,--$C113&lt;=--Campaign_Metadata_clean!$C$4),"ChillVibes",
IF(AND(--$C113&gt;=--Campaign_Metadata_clean!$B$5,--$C113&lt;=--Campaign_Metadata_clean!$C$5),"IndieWave","No Campaign"))))</f>
        <v>No Campaign</v>
      </c>
      <c r="R113" t="str">
        <f t="shared" si="10"/>
        <v>Other</v>
      </c>
      <c r="S113" t="str">
        <f t="shared" si="11"/>
        <v/>
      </c>
      <c r="X113" s="47" t="str">
        <f>IFERROR(
_xlfn.XLOOKUP(Q113,
Campaign_Metadata_clean!A:A,
Campaign_Metadata_clean!B:B),
"")</f>
        <v/>
      </c>
      <c r="Y113" s="47" t="str">
        <f>IFERROR(
_xlfn.XLOOKUP(Q113,
Campaign_Metadata_clean!A:A,
Campaign_Metadata_clean!C:C),
"")</f>
        <v/>
      </c>
      <c r="Z113">
        <f t="shared" si="13"/>
        <v>0</v>
      </c>
      <c r="AA113">
        <f t="shared" si="14"/>
        <v>0</v>
      </c>
      <c r="AB113">
        <f t="shared" si="15"/>
        <v>0</v>
      </c>
    </row>
    <row r="114" spans="1:28">
      <c r="A114" s="1" t="s">
        <v>153</v>
      </c>
      <c r="B114" s="1" t="s">
        <v>14</v>
      </c>
      <c r="C114" s="46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45</v>
      </c>
      <c r="M114" s="1" t="s">
        <v>42</v>
      </c>
      <c r="N114" s="13">
        <f t="shared" si="12"/>
        <v>3.9674653122814763E-2</v>
      </c>
      <c r="O114">
        <f t="shared" si="8"/>
        <v>278</v>
      </c>
      <c r="P114">
        <f t="shared" si="9"/>
        <v>2156</v>
      </c>
      <c r="Q114" t="str">
        <f>IF(AND(--$C114&gt;=--Campaign_Metadata_clean!$B$2,--$C114&lt;=--Campaign_Metadata_clean!$C$2),"SummerBeats",
IF(AND(--$C114&gt;=--Campaign_Metadata_clean!$B$3,--$C114&lt;=--Campaign_Metadata_clean!$C$3),"Wrapped2024",
IF(AND(--$C114&gt;=--Campaign_Metadata_clean!$B$4,--$C114&lt;=--Campaign_Metadata_clean!$C$4),"ChillVibes",
IF(AND(--$C114&gt;=--Campaign_Metadata_clean!$B$5,--$C114&lt;=--Campaign_Metadata_clean!$C$5),"IndieWave","No Campaign"))))</f>
        <v>No Campaign</v>
      </c>
      <c r="R114" t="str">
        <f t="shared" si="10"/>
        <v>Before</v>
      </c>
      <c r="S114" t="str">
        <f t="shared" si="11"/>
        <v/>
      </c>
      <c r="X114" s="47" t="str">
        <f>IFERROR(
_xlfn.XLOOKUP(Q114,
Campaign_Metadata_clean!A:A,
Campaign_Metadata_clean!B:B),
"")</f>
        <v/>
      </c>
      <c r="Y114" s="47" t="str">
        <f>IFERROR(
_xlfn.XLOOKUP(Q114,
Campaign_Metadata_clean!A:A,
Campaign_Metadata_clean!C:C),
"")</f>
        <v/>
      </c>
      <c r="Z114">
        <f t="shared" si="13"/>
        <v>0</v>
      </c>
      <c r="AA114">
        <f t="shared" si="14"/>
        <v>0</v>
      </c>
      <c r="AB114">
        <f t="shared" si="15"/>
        <v>0</v>
      </c>
    </row>
    <row r="115" spans="1:28">
      <c r="A115" s="1" t="s">
        <v>154</v>
      </c>
      <c r="B115" s="1" t="s">
        <v>24</v>
      </c>
      <c r="C115" s="46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/>
      <c r="N115" s="13">
        <f t="shared" si="12"/>
        <v>5.1173769923769923E-2</v>
      </c>
      <c r="O115">
        <f t="shared" si="8"/>
        <v>253</v>
      </c>
      <c r="P115">
        <f t="shared" si="9"/>
        <v>2363</v>
      </c>
      <c r="Q115" t="str">
        <f>IF(AND(--$C115&gt;=--Campaign_Metadata_clean!$B$2,--$C115&lt;=--Campaign_Metadata_clean!$C$2),"SummerBeats",
IF(AND(--$C115&gt;=--Campaign_Metadata_clean!$B$3,--$C115&lt;=--Campaign_Metadata_clean!$C$3),"Wrapped2024",
IF(AND(--$C115&gt;=--Campaign_Metadata_clean!$B$4,--$C115&lt;=--Campaign_Metadata_clean!$C$4),"ChillVibes",
IF(AND(--$C115&gt;=--Campaign_Metadata_clean!$B$5,--$C115&lt;=--Campaign_Metadata_clean!$C$5),"IndieWave","No Campaign"))))</f>
        <v>No Campaign</v>
      </c>
      <c r="R115" t="str">
        <f t="shared" si="10"/>
        <v>Before</v>
      </c>
      <c r="S115" t="str">
        <f t="shared" si="11"/>
        <v/>
      </c>
      <c r="X115" s="47" t="str">
        <f>IFERROR(
_xlfn.XLOOKUP(Q115,
Campaign_Metadata_clean!A:A,
Campaign_Metadata_clean!B:B),
"")</f>
        <v/>
      </c>
      <c r="Y115" s="47" t="str">
        <f>IFERROR(
_xlfn.XLOOKUP(Q115,
Campaign_Metadata_clean!A:A,
Campaign_Metadata_clean!C:C),
"")</f>
        <v/>
      </c>
      <c r="Z115">
        <f t="shared" si="13"/>
        <v>0</v>
      </c>
      <c r="AA115">
        <f t="shared" si="14"/>
        <v>0</v>
      </c>
      <c r="AB115">
        <f t="shared" si="15"/>
        <v>0</v>
      </c>
    </row>
    <row r="116" spans="1:28">
      <c r="A116" s="1" t="s">
        <v>155</v>
      </c>
      <c r="B116" s="1" t="s">
        <v>14</v>
      </c>
      <c r="C116" s="46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/>
      <c r="N116" s="13">
        <f t="shared" si="12"/>
        <v>8.6978468608031198E-2</v>
      </c>
      <c r="O116">
        <f t="shared" si="8"/>
        <v>147</v>
      </c>
      <c r="P116">
        <f t="shared" si="9"/>
        <v>4997</v>
      </c>
      <c r="Q116" t="str">
        <f>IF(AND(--$C116&gt;=--Campaign_Metadata_clean!$B$2,--$C116&lt;=--Campaign_Metadata_clean!$C$2),"SummerBeats",
IF(AND(--$C116&gt;=--Campaign_Metadata_clean!$B$3,--$C116&lt;=--Campaign_Metadata_clean!$C$3),"Wrapped2024",
IF(AND(--$C116&gt;=--Campaign_Metadata_clean!$B$4,--$C116&lt;=--Campaign_Metadata_clean!$C$4),"ChillVibes",
IF(AND(--$C116&gt;=--Campaign_Metadata_clean!$B$5,--$C116&lt;=--Campaign_Metadata_clean!$C$5),"IndieWave","No Campaign"))))</f>
        <v>No Campaign</v>
      </c>
      <c r="R116" t="str">
        <f t="shared" si="10"/>
        <v>Other</v>
      </c>
      <c r="S116" t="str">
        <f t="shared" si="11"/>
        <v/>
      </c>
      <c r="X116" s="47" t="str">
        <f>IFERROR(
_xlfn.XLOOKUP(Q116,
Campaign_Metadata_clean!A:A,
Campaign_Metadata_clean!B:B),
"")</f>
        <v/>
      </c>
      <c r="Y116" s="47" t="str">
        <f>IFERROR(
_xlfn.XLOOKUP(Q116,
Campaign_Metadata_clean!A:A,
Campaign_Metadata_clean!C:C),
"")</f>
        <v/>
      </c>
      <c r="Z116">
        <f t="shared" si="13"/>
        <v>0</v>
      </c>
      <c r="AA116">
        <f t="shared" si="14"/>
        <v>0</v>
      </c>
      <c r="AB116">
        <f t="shared" si="15"/>
        <v>0</v>
      </c>
    </row>
    <row r="117" spans="1:28">
      <c r="A117" s="1" t="s">
        <v>156</v>
      </c>
      <c r="B117" s="1" t="s">
        <v>14</v>
      </c>
      <c r="C117" s="46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/>
      <c r="N117" s="13">
        <f t="shared" si="12"/>
        <v>4.9881554861634543E-2</v>
      </c>
      <c r="O117">
        <f t="shared" si="8"/>
        <v>256</v>
      </c>
      <c r="P117">
        <f t="shared" si="9"/>
        <v>1853</v>
      </c>
      <c r="Q117" t="str">
        <f>IF(AND(--$C117&gt;=--Campaign_Metadata_clean!$B$2,--$C117&lt;=--Campaign_Metadata_clean!$C$2),"SummerBeats",
IF(AND(--$C117&gt;=--Campaign_Metadata_clean!$B$3,--$C117&lt;=--Campaign_Metadata_clean!$C$3),"Wrapped2024",
IF(AND(--$C117&gt;=--Campaign_Metadata_clean!$B$4,--$C117&lt;=--Campaign_Metadata_clean!$C$4),"ChillVibes",
IF(AND(--$C117&gt;=--Campaign_Metadata_clean!$B$5,--$C117&lt;=--Campaign_Metadata_clean!$C$5),"IndieWave","No Campaign"))))</f>
        <v>No Campaign</v>
      </c>
      <c r="R117" t="str">
        <f t="shared" si="10"/>
        <v>Other</v>
      </c>
      <c r="S117" t="str">
        <f t="shared" si="11"/>
        <v/>
      </c>
      <c r="X117" s="47" t="str">
        <f>IFERROR(
_xlfn.XLOOKUP(Q117,
Campaign_Metadata_clean!A:A,
Campaign_Metadata_clean!B:B),
"")</f>
        <v/>
      </c>
      <c r="Y117" s="47" t="str">
        <f>IFERROR(
_xlfn.XLOOKUP(Q117,
Campaign_Metadata_clean!A:A,
Campaign_Metadata_clean!C:C),
"")</f>
        <v/>
      </c>
      <c r="Z117">
        <f t="shared" si="13"/>
        <v>0</v>
      </c>
      <c r="AA117">
        <f t="shared" si="14"/>
        <v>0</v>
      </c>
      <c r="AB117">
        <f t="shared" si="15"/>
        <v>0</v>
      </c>
    </row>
    <row r="118" spans="1:28">
      <c r="A118" s="1" t="s">
        <v>157</v>
      </c>
      <c r="B118" s="1" t="s">
        <v>14</v>
      </c>
      <c r="C118" s="46">
        <v>45340</v>
      </c>
      <c r="D118" s="1" t="s">
        <v>25</v>
      </c>
      <c r="E118" s="1" t="s">
        <v>374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/>
      <c r="N118" s="13">
        <f t="shared" si="12"/>
        <v>3.4977365592309385E-2</v>
      </c>
      <c r="O118">
        <f t="shared" si="8"/>
        <v>288</v>
      </c>
      <c r="P118">
        <f t="shared" si="9"/>
        <v>2063</v>
      </c>
      <c r="Q118" t="str">
        <f>IF(AND(--$C118&gt;=--Campaign_Metadata_clean!$B$2,--$C118&lt;=--Campaign_Metadata_clean!$C$2),"SummerBeats",
IF(AND(--$C118&gt;=--Campaign_Metadata_clean!$B$3,--$C118&lt;=--Campaign_Metadata_clean!$C$3),"Wrapped2024",
IF(AND(--$C118&gt;=--Campaign_Metadata_clean!$B$4,--$C118&lt;=--Campaign_Metadata_clean!$C$4),"ChillVibes",
IF(AND(--$C118&gt;=--Campaign_Metadata_clean!$B$5,--$C118&lt;=--Campaign_Metadata_clean!$C$5),"IndieWave","No Campaign"))))</f>
        <v>No Campaign</v>
      </c>
      <c r="R118" t="str">
        <f t="shared" si="10"/>
        <v>Before</v>
      </c>
      <c r="S118" t="str">
        <f t="shared" si="11"/>
        <v/>
      </c>
      <c r="X118" s="47" t="str">
        <f>IFERROR(
_xlfn.XLOOKUP(Q118,
Campaign_Metadata_clean!A:A,
Campaign_Metadata_clean!B:B),
"")</f>
        <v/>
      </c>
      <c r="Y118" s="47" t="str">
        <f>IFERROR(
_xlfn.XLOOKUP(Q118,
Campaign_Metadata_clean!A:A,
Campaign_Metadata_clean!C:C),
"")</f>
        <v/>
      </c>
      <c r="Z118">
        <f t="shared" si="13"/>
        <v>0</v>
      </c>
      <c r="AA118">
        <f t="shared" si="14"/>
        <v>0</v>
      </c>
      <c r="AB118">
        <f t="shared" si="15"/>
        <v>0</v>
      </c>
    </row>
    <row r="119" spans="1:28">
      <c r="A119" s="1" t="s">
        <v>158</v>
      </c>
      <c r="B119" s="1" t="s">
        <v>24</v>
      </c>
      <c r="C119" s="46">
        <v>45428</v>
      </c>
      <c r="D119" s="1" t="s">
        <v>25</v>
      </c>
      <c r="E119" s="1" t="s">
        <v>375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21</v>
      </c>
      <c r="M119" s="1" t="s">
        <v>377</v>
      </c>
      <c r="N119" s="13">
        <f t="shared" si="12"/>
        <v>4.1192869195216787E-2</v>
      </c>
      <c r="O119">
        <f t="shared" si="8"/>
        <v>273</v>
      </c>
      <c r="P119">
        <f t="shared" si="9"/>
        <v>2246</v>
      </c>
      <c r="Q119" t="str">
        <f>IF(AND(--$C119&gt;=--Campaign_Metadata_clean!$B$2,--$C119&lt;=--Campaign_Metadata_clean!$C$2),"SummerBeats",
IF(AND(--$C119&gt;=--Campaign_Metadata_clean!$B$3,--$C119&lt;=--Campaign_Metadata_clean!$C$3),"Wrapped2024",
IF(AND(--$C119&gt;=--Campaign_Metadata_clean!$B$4,--$C119&lt;=--Campaign_Metadata_clean!$C$4),"ChillVibes",
IF(AND(--$C119&gt;=--Campaign_Metadata_clean!$B$5,--$C119&lt;=--Campaign_Metadata_clean!$C$5),"IndieWave","No Campaign"))))</f>
        <v>No Campaign</v>
      </c>
      <c r="R119" t="str">
        <f t="shared" si="10"/>
        <v>Before</v>
      </c>
      <c r="S119" t="str">
        <f t="shared" si="11"/>
        <v/>
      </c>
      <c r="X119" s="47" t="str">
        <f>IFERROR(
_xlfn.XLOOKUP(Q119,
Campaign_Metadata_clean!A:A,
Campaign_Metadata_clean!B:B),
"")</f>
        <v/>
      </c>
      <c r="Y119" s="47" t="str">
        <f>IFERROR(
_xlfn.XLOOKUP(Q119,
Campaign_Metadata_clean!A:A,
Campaign_Metadata_clean!C:C),
"")</f>
        <v/>
      </c>
      <c r="Z119">
        <f t="shared" si="13"/>
        <v>0</v>
      </c>
      <c r="AA119">
        <f t="shared" si="14"/>
        <v>0</v>
      </c>
      <c r="AB119">
        <f t="shared" si="15"/>
        <v>0</v>
      </c>
    </row>
    <row r="120" spans="1:28">
      <c r="A120" s="1" t="s">
        <v>159</v>
      </c>
      <c r="B120" s="1" t="s">
        <v>24</v>
      </c>
      <c r="C120" s="46">
        <v>45806</v>
      </c>
      <c r="D120" s="1" t="s">
        <v>25</v>
      </c>
      <c r="E120" s="1" t="s">
        <v>375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377</v>
      </c>
      <c r="M120" s="1" t="s">
        <v>42</v>
      </c>
      <c r="N120" s="13">
        <f t="shared" si="12"/>
        <v>5.7963823356939871E-2</v>
      </c>
      <c r="O120">
        <f t="shared" si="8"/>
        <v>230</v>
      </c>
      <c r="P120">
        <f t="shared" si="9"/>
        <v>2570</v>
      </c>
      <c r="Q120" t="str">
        <f>IF(AND(--$C120&gt;=--Campaign_Metadata_clean!$B$2,--$C120&lt;=--Campaign_Metadata_clean!$C$2),"SummerBeats",
IF(AND(--$C120&gt;=--Campaign_Metadata_clean!$B$3,--$C120&lt;=--Campaign_Metadata_clean!$C$3),"Wrapped2024",
IF(AND(--$C120&gt;=--Campaign_Metadata_clean!$B$4,--$C120&lt;=--Campaign_Metadata_clean!$C$4),"ChillVibes",
IF(AND(--$C120&gt;=--Campaign_Metadata_clean!$B$5,--$C120&lt;=--Campaign_Metadata_clean!$C$5),"IndieWave","No Campaign"))))</f>
        <v>No Campaign</v>
      </c>
      <c r="R120" t="str">
        <f t="shared" si="10"/>
        <v>Other</v>
      </c>
      <c r="S120" t="str">
        <f t="shared" si="11"/>
        <v/>
      </c>
      <c r="X120" s="47" t="str">
        <f>IFERROR(
_xlfn.XLOOKUP(Q120,
Campaign_Metadata_clean!A:A,
Campaign_Metadata_clean!B:B),
"")</f>
        <v/>
      </c>
      <c r="Y120" s="47" t="str">
        <f>IFERROR(
_xlfn.XLOOKUP(Q120,
Campaign_Metadata_clean!A:A,
Campaign_Metadata_clean!C:C),
"")</f>
        <v/>
      </c>
      <c r="Z120">
        <f t="shared" si="13"/>
        <v>0</v>
      </c>
      <c r="AA120">
        <f t="shared" si="14"/>
        <v>0</v>
      </c>
      <c r="AB120">
        <f t="shared" si="15"/>
        <v>0</v>
      </c>
    </row>
    <row r="121" spans="1:28">
      <c r="A121" s="1" t="s">
        <v>160</v>
      </c>
      <c r="B121" s="1" t="s">
        <v>14</v>
      </c>
      <c r="C121" s="46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/>
      <c r="N121" s="13">
        <f t="shared" si="12"/>
        <v>4.7099090384865788E-2</v>
      </c>
      <c r="O121">
        <f t="shared" si="8"/>
        <v>262</v>
      </c>
      <c r="P121">
        <f t="shared" si="9"/>
        <v>2532</v>
      </c>
      <c r="Q121" t="str">
        <f>IF(AND(--$C121&gt;=--Campaign_Metadata_clean!$B$2,--$C121&lt;=--Campaign_Metadata_clean!$C$2),"SummerBeats",
IF(AND(--$C121&gt;=--Campaign_Metadata_clean!$B$3,--$C121&lt;=--Campaign_Metadata_clean!$C$3),"Wrapped2024",
IF(AND(--$C121&gt;=--Campaign_Metadata_clean!$B$4,--$C121&lt;=--Campaign_Metadata_clean!$C$4),"ChillVibes",
IF(AND(--$C121&gt;=--Campaign_Metadata_clean!$B$5,--$C121&lt;=--Campaign_Metadata_clean!$C$5),"IndieWave","No Campaign"))))</f>
        <v>ChillVibes</v>
      </c>
      <c r="R121" t="str">
        <f t="shared" si="10"/>
        <v>During</v>
      </c>
      <c r="S121" t="str">
        <f t="shared" si="11"/>
        <v>During</v>
      </c>
      <c r="X121" s="47">
        <f>IFERROR(
_xlfn.XLOOKUP(Q121,
Campaign_Metadata_clean!A:A,
Campaign_Metadata_clean!B:B),
"")</f>
        <v>45667</v>
      </c>
      <c r="Y121" s="47">
        <f>IFERROR(
_xlfn.XLOOKUP(Q121,
Campaign_Metadata_clean!A:A,
Campaign_Metadata_clean!C:C),
"")</f>
        <v>45698</v>
      </c>
      <c r="Z121">
        <f t="shared" si="13"/>
        <v>0.10086311618757582</v>
      </c>
      <c r="AA121">
        <f t="shared" si="14"/>
        <v>0.10541160412718438</v>
      </c>
      <c r="AB121">
        <f t="shared" ca="1" si="15"/>
        <v>0</v>
      </c>
    </row>
    <row r="122" spans="1:28">
      <c r="A122" s="1" t="s">
        <v>161</v>
      </c>
      <c r="B122" s="1" t="s">
        <v>14</v>
      </c>
      <c r="C122" s="46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/>
      <c r="N122" s="13">
        <f t="shared" si="12"/>
        <v>9.3980281287635997E-2</v>
      </c>
      <c r="O122">
        <f t="shared" si="8"/>
        <v>126</v>
      </c>
      <c r="P122">
        <f t="shared" si="9"/>
        <v>4604</v>
      </c>
      <c r="Q122" t="str">
        <f>IF(AND(--$C122&gt;=--Campaign_Metadata_clean!$B$2,--$C122&lt;=--Campaign_Metadata_clean!$C$2),"SummerBeats",
IF(AND(--$C122&gt;=--Campaign_Metadata_clean!$B$3,--$C122&lt;=--Campaign_Metadata_clean!$C$3),"Wrapped2024",
IF(AND(--$C122&gt;=--Campaign_Metadata_clean!$B$4,--$C122&lt;=--Campaign_Metadata_clean!$C$4),"ChillVibes",
IF(AND(--$C122&gt;=--Campaign_Metadata_clean!$B$5,--$C122&lt;=--Campaign_Metadata_clean!$C$5),"IndieWave","No Campaign"))))</f>
        <v>No Campaign</v>
      </c>
      <c r="R122" t="str">
        <f t="shared" si="10"/>
        <v>Other</v>
      </c>
      <c r="S122" t="str">
        <f t="shared" si="11"/>
        <v/>
      </c>
      <c r="X122" s="47" t="str">
        <f>IFERROR(
_xlfn.XLOOKUP(Q122,
Campaign_Metadata_clean!A:A,
Campaign_Metadata_clean!B:B),
"")</f>
        <v/>
      </c>
      <c r="Y122" s="47" t="str">
        <f>IFERROR(
_xlfn.XLOOKUP(Q122,
Campaign_Metadata_clean!A:A,
Campaign_Metadata_clean!C:C),
"")</f>
        <v/>
      </c>
      <c r="Z122">
        <f t="shared" si="13"/>
        <v>0</v>
      </c>
      <c r="AA122">
        <f t="shared" si="14"/>
        <v>0</v>
      </c>
      <c r="AB122">
        <f t="shared" si="15"/>
        <v>0</v>
      </c>
    </row>
    <row r="123" spans="1:28">
      <c r="A123" s="1" t="s">
        <v>162</v>
      </c>
      <c r="B123" s="1" t="s">
        <v>24</v>
      </c>
      <c r="C123" s="46">
        <v>45346</v>
      </c>
      <c r="D123" s="1" t="s">
        <v>25</v>
      </c>
      <c r="E123" s="1" t="s">
        <v>375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21</v>
      </c>
      <c r="M123" s="1" t="s">
        <v>377</v>
      </c>
      <c r="N123" s="13">
        <f t="shared" si="12"/>
        <v>3.5847516903707161E-2</v>
      </c>
      <c r="O123">
        <f t="shared" si="8"/>
        <v>283</v>
      </c>
      <c r="P123">
        <f t="shared" si="9"/>
        <v>1845</v>
      </c>
      <c r="Q123" t="str">
        <f>IF(AND(--$C123&gt;=--Campaign_Metadata_clean!$B$2,--$C123&lt;=--Campaign_Metadata_clean!$C$2),"SummerBeats",
IF(AND(--$C123&gt;=--Campaign_Metadata_clean!$B$3,--$C123&lt;=--Campaign_Metadata_clean!$C$3),"Wrapped2024",
IF(AND(--$C123&gt;=--Campaign_Metadata_clean!$B$4,--$C123&lt;=--Campaign_Metadata_clean!$C$4),"ChillVibes",
IF(AND(--$C123&gt;=--Campaign_Metadata_clean!$B$5,--$C123&lt;=--Campaign_Metadata_clean!$C$5),"IndieWave","No Campaign"))))</f>
        <v>No Campaign</v>
      </c>
      <c r="R123" t="str">
        <f t="shared" si="10"/>
        <v>Before</v>
      </c>
      <c r="S123" t="str">
        <f t="shared" si="11"/>
        <v/>
      </c>
      <c r="X123" s="47" t="str">
        <f>IFERROR(
_xlfn.XLOOKUP(Q123,
Campaign_Metadata_clean!A:A,
Campaign_Metadata_clean!B:B),
"")</f>
        <v/>
      </c>
      <c r="Y123" s="47" t="str">
        <f>IFERROR(
_xlfn.XLOOKUP(Q123,
Campaign_Metadata_clean!A:A,
Campaign_Metadata_clean!C:C),
"")</f>
        <v/>
      </c>
      <c r="Z123">
        <f t="shared" si="13"/>
        <v>0</v>
      </c>
      <c r="AA123">
        <f t="shared" si="14"/>
        <v>0</v>
      </c>
      <c r="AB123">
        <f t="shared" si="15"/>
        <v>0</v>
      </c>
    </row>
    <row r="124" spans="1:28">
      <c r="A124" s="1" t="s">
        <v>163</v>
      </c>
      <c r="B124" s="1" t="s">
        <v>31</v>
      </c>
      <c r="C124" s="46">
        <v>45424</v>
      </c>
      <c r="D124" s="1" t="s">
        <v>15</v>
      </c>
      <c r="E124" s="1" t="s">
        <v>374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21</v>
      </c>
      <c r="M124" s="1" t="s">
        <v>378</v>
      </c>
      <c r="N124" s="13">
        <f t="shared" si="12"/>
        <v>5.8764788517847777E-2</v>
      </c>
      <c r="O124">
        <f t="shared" si="8"/>
        <v>227</v>
      </c>
      <c r="P124">
        <f t="shared" si="9"/>
        <v>3472</v>
      </c>
      <c r="Q124" t="str">
        <f>IF(AND(--$C124&gt;=--Campaign_Metadata_clean!$B$2,--$C124&lt;=--Campaign_Metadata_clean!$C$2),"SummerBeats",
IF(AND(--$C124&gt;=--Campaign_Metadata_clean!$B$3,--$C124&lt;=--Campaign_Metadata_clean!$C$3),"Wrapped2024",
IF(AND(--$C124&gt;=--Campaign_Metadata_clean!$B$4,--$C124&lt;=--Campaign_Metadata_clean!$C$4),"ChillVibes",
IF(AND(--$C124&gt;=--Campaign_Metadata_clean!$B$5,--$C124&lt;=--Campaign_Metadata_clean!$C$5),"IndieWave","No Campaign"))))</f>
        <v>No Campaign</v>
      </c>
      <c r="R124" t="str">
        <f t="shared" si="10"/>
        <v>Before</v>
      </c>
      <c r="S124" t="str">
        <f t="shared" si="11"/>
        <v/>
      </c>
      <c r="X124" s="47" t="str">
        <f>IFERROR(
_xlfn.XLOOKUP(Q124,
Campaign_Metadata_clean!A:A,
Campaign_Metadata_clean!B:B),
"")</f>
        <v/>
      </c>
      <c r="Y124" s="47" t="str">
        <f>IFERROR(
_xlfn.XLOOKUP(Q124,
Campaign_Metadata_clean!A:A,
Campaign_Metadata_clean!C:C),
"")</f>
        <v/>
      </c>
      <c r="Z124">
        <f t="shared" si="13"/>
        <v>0</v>
      </c>
      <c r="AA124">
        <f t="shared" si="14"/>
        <v>0</v>
      </c>
      <c r="AB124">
        <f t="shared" si="15"/>
        <v>0</v>
      </c>
    </row>
    <row r="125" spans="1:28">
      <c r="A125" s="1" t="s">
        <v>164</v>
      </c>
      <c r="B125" s="1" t="s">
        <v>24</v>
      </c>
      <c r="C125" s="46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45</v>
      </c>
      <c r="M125" s="1" t="s">
        <v>42</v>
      </c>
      <c r="N125" s="13">
        <f t="shared" si="12"/>
        <v>8.5455879813503707E-2</v>
      </c>
      <c r="O125">
        <f t="shared" si="8"/>
        <v>154</v>
      </c>
      <c r="P125">
        <f t="shared" si="9"/>
        <v>3959</v>
      </c>
      <c r="Q125" t="str">
        <f>IF(AND(--$C125&gt;=--Campaign_Metadata_clean!$B$2,--$C125&lt;=--Campaign_Metadata_clean!$C$2),"SummerBeats",
IF(AND(--$C125&gt;=--Campaign_Metadata_clean!$B$3,--$C125&lt;=--Campaign_Metadata_clean!$C$3),"Wrapped2024",
IF(AND(--$C125&gt;=--Campaign_Metadata_clean!$B$4,--$C125&lt;=--Campaign_Metadata_clean!$C$4),"ChillVibes",
IF(AND(--$C125&gt;=--Campaign_Metadata_clean!$B$5,--$C125&lt;=--Campaign_Metadata_clean!$C$5),"IndieWave","No Campaign"))))</f>
        <v>No Campaign</v>
      </c>
      <c r="R125" t="str">
        <f t="shared" si="10"/>
        <v>Before</v>
      </c>
      <c r="S125" t="str">
        <f t="shared" si="11"/>
        <v/>
      </c>
      <c r="X125" s="47" t="str">
        <f>IFERROR(
_xlfn.XLOOKUP(Q125,
Campaign_Metadata_clean!A:A,
Campaign_Metadata_clean!B:B),
"")</f>
        <v/>
      </c>
      <c r="Y125" s="47" t="str">
        <f>IFERROR(
_xlfn.XLOOKUP(Q125,
Campaign_Metadata_clean!A:A,
Campaign_Metadata_clean!C:C),
"")</f>
        <v/>
      </c>
      <c r="Z125">
        <f t="shared" si="13"/>
        <v>0</v>
      </c>
      <c r="AA125">
        <f t="shared" si="14"/>
        <v>0</v>
      </c>
      <c r="AB125">
        <f t="shared" si="15"/>
        <v>0</v>
      </c>
    </row>
    <row r="126" spans="1:28">
      <c r="A126" s="1" t="s">
        <v>165</v>
      </c>
      <c r="B126" s="1" t="s">
        <v>24</v>
      </c>
      <c r="C126" s="46">
        <v>45602</v>
      </c>
      <c r="D126" s="1" t="s">
        <v>15</v>
      </c>
      <c r="E126" s="1" t="s">
        <v>374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/>
      <c r="N126" s="13">
        <f t="shared" si="12"/>
        <v>0.11041472996071611</v>
      </c>
      <c r="O126">
        <f t="shared" si="8"/>
        <v>82</v>
      </c>
      <c r="P126">
        <f t="shared" si="9"/>
        <v>3682</v>
      </c>
      <c r="Q126" t="str">
        <f>IF(AND(--$C126&gt;=--Campaign_Metadata_clean!$B$2,--$C126&lt;=--Campaign_Metadata_clean!$C$2),"SummerBeats",
IF(AND(--$C126&gt;=--Campaign_Metadata_clean!$B$3,--$C126&lt;=--Campaign_Metadata_clean!$C$3),"Wrapped2024",
IF(AND(--$C126&gt;=--Campaign_Metadata_clean!$B$4,--$C126&lt;=--Campaign_Metadata_clean!$C$4),"ChillVibes",
IF(AND(--$C126&gt;=--Campaign_Metadata_clean!$B$5,--$C126&lt;=--Campaign_Metadata_clean!$C$5),"IndieWave","No Campaign"))))</f>
        <v>No Campaign</v>
      </c>
      <c r="R126" t="str">
        <f t="shared" si="10"/>
        <v>Before</v>
      </c>
      <c r="S126" t="str">
        <f t="shared" si="11"/>
        <v/>
      </c>
      <c r="X126" s="47" t="str">
        <f>IFERROR(
_xlfn.XLOOKUP(Q126,
Campaign_Metadata_clean!A:A,
Campaign_Metadata_clean!B:B),
"")</f>
        <v/>
      </c>
      <c r="Y126" s="47" t="str">
        <f>IFERROR(
_xlfn.XLOOKUP(Q126,
Campaign_Metadata_clean!A:A,
Campaign_Metadata_clean!C:C),
"")</f>
        <v/>
      </c>
      <c r="Z126">
        <f t="shared" si="13"/>
        <v>0</v>
      </c>
      <c r="AA126">
        <f t="shared" si="14"/>
        <v>0</v>
      </c>
      <c r="AB126">
        <f t="shared" si="15"/>
        <v>0</v>
      </c>
    </row>
    <row r="127" spans="1:28">
      <c r="A127" s="1" t="s">
        <v>166</v>
      </c>
      <c r="B127" s="1" t="s">
        <v>24</v>
      </c>
      <c r="C127" s="46">
        <v>45295</v>
      </c>
      <c r="D127" s="1" t="s">
        <v>25</v>
      </c>
      <c r="E127" s="1" t="s">
        <v>373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377</v>
      </c>
      <c r="M127" s="1" t="s">
        <v>42</v>
      </c>
      <c r="N127" s="13">
        <f t="shared" si="12"/>
        <v>7.064131830503638E-2</v>
      </c>
      <c r="O127">
        <f t="shared" si="8"/>
        <v>200</v>
      </c>
      <c r="P127">
        <f t="shared" si="9"/>
        <v>3961</v>
      </c>
      <c r="Q127" t="str">
        <f>IF(AND(--$C127&gt;=--Campaign_Metadata_clean!$B$2,--$C127&lt;=--Campaign_Metadata_clean!$C$2),"SummerBeats",
IF(AND(--$C127&gt;=--Campaign_Metadata_clean!$B$3,--$C127&lt;=--Campaign_Metadata_clean!$C$3),"Wrapped2024",
IF(AND(--$C127&gt;=--Campaign_Metadata_clean!$B$4,--$C127&lt;=--Campaign_Metadata_clean!$C$4),"ChillVibes",
IF(AND(--$C127&gt;=--Campaign_Metadata_clean!$B$5,--$C127&lt;=--Campaign_Metadata_clean!$C$5),"IndieWave","No Campaign"))))</f>
        <v>No Campaign</v>
      </c>
      <c r="R127" t="str">
        <f t="shared" si="10"/>
        <v>Before</v>
      </c>
      <c r="S127" t="str">
        <f t="shared" si="11"/>
        <v/>
      </c>
      <c r="X127" s="47" t="str">
        <f>IFERROR(
_xlfn.XLOOKUP(Q127,
Campaign_Metadata_clean!A:A,
Campaign_Metadata_clean!B:B),
"")</f>
        <v/>
      </c>
      <c r="Y127" s="47" t="str">
        <f>IFERROR(
_xlfn.XLOOKUP(Q127,
Campaign_Metadata_clean!A:A,
Campaign_Metadata_clean!C:C),
"")</f>
        <v/>
      </c>
      <c r="Z127">
        <f t="shared" si="13"/>
        <v>0</v>
      </c>
      <c r="AA127">
        <f t="shared" si="14"/>
        <v>0</v>
      </c>
      <c r="AB127">
        <f t="shared" si="15"/>
        <v>0</v>
      </c>
    </row>
    <row r="128" spans="1:28">
      <c r="A128" s="1" t="s">
        <v>167</v>
      </c>
      <c r="B128" s="1" t="s">
        <v>24</v>
      </c>
      <c r="C128" s="46">
        <v>45319</v>
      </c>
      <c r="D128" s="1" t="s">
        <v>15</v>
      </c>
      <c r="E128" s="1" t="s">
        <v>375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/>
      <c r="N128" s="13">
        <f t="shared" si="12"/>
        <v>3.4738711788351875E-2</v>
      </c>
      <c r="O128">
        <f t="shared" si="8"/>
        <v>289</v>
      </c>
      <c r="P128">
        <f t="shared" si="9"/>
        <v>1858</v>
      </c>
      <c r="Q128" t="str">
        <f>IF(AND(--$C128&gt;=--Campaign_Metadata_clean!$B$2,--$C128&lt;=--Campaign_Metadata_clean!$C$2),"SummerBeats",
IF(AND(--$C128&gt;=--Campaign_Metadata_clean!$B$3,--$C128&lt;=--Campaign_Metadata_clean!$C$3),"Wrapped2024",
IF(AND(--$C128&gt;=--Campaign_Metadata_clean!$B$4,--$C128&lt;=--Campaign_Metadata_clean!$C$4),"ChillVibes",
IF(AND(--$C128&gt;=--Campaign_Metadata_clean!$B$5,--$C128&lt;=--Campaign_Metadata_clean!$C$5),"IndieWave","No Campaign"))))</f>
        <v>No Campaign</v>
      </c>
      <c r="R128" t="str">
        <f t="shared" si="10"/>
        <v>Before</v>
      </c>
      <c r="S128" t="str">
        <f t="shared" si="11"/>
        <v/>
      </c>
      <c r="X128" s="47" t="str">
        <f>IFERROR(
_xlfn.XLOOKUP(Q128,
Campaign_Metadata_clean!A:A,
Campaign_Metadata_clean!B:B),
"")</f>
        <v/>
      </c>
      <c r="Y128" s="47" t="str">
        <f>IFERROR(
_xlfn.XLOOKUP(Q128,
Campaign_Metadata_clean!A:A,
Campaign_Metadata_clean!C:C),
"")</f>
        <v/>
      </c>
      <c r="Z128">
        <f t="shared" si="13"/>
        <v>0</v>
      </c>
      <c r="AA128">
        <f t="shared" si="14"/>
        <v>0</v>
      </c>
      <c r="AB128">
        <f t="shared" si="15"/>
        <v>0</v>
      </c>
    </row>
    <row r="129" spans="1:28">
      <c r="A129" s="1" t="s">
        <v>168</v>
      </c>
      <c r="B129" s="1" t="s">
        <v>14</v>
      </c>
      <c r="C129" s="46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45</v>
      </c>
      <c r="M129" s="1" t="s">
        <v>42</v>
      </c>
      <c r="N129" s="13">
        <f t="shared" si="12"/>
        <v>0.10461100954702417</v>
      </c>
      <c r="O129">
        <f t="shared" si="8"/>
        <v>99</v>
      </c>
      <c r="P129">
        <f t="shared" si="9"/>
        <v>2575</v>
      </c>
      <c r="Q129" t="str">
        <f>IF(AND(--$C129&gt;=--Campaign_Metadata_clean!$B$2,--$C129&lt;=--Campaign_Metadata_clean!$C$2),"SummerBeats",
IF(AND(--$C129&gt;=--Campaign_Metadata_clean!$B$3,--$C129&lt;=--Campaign_Metadata_clean!$C$3),"Wrapped2024",
IF(AND(--$C129&gt;=--Campaign_Metadata_clean!$B$4,--$C129&lt;=--Campaign_Metadata_clean!$C$4),"ChillVibes",
IF(AND(--$C129&gt;=--Campaign_Metadata_clean!$B$5,--$C129&lt;=--Campaign_Metadata_clean!$C$5),"IndieWave","No Campaign"))))</f>
        <v>No Campaign</v>
      </c>
      <c r="R129" t="str">
        <f t="shared" si="10"/>
        <v>Before</v>
      </c>
      <c r="S129" t="str">
        <f t="shared" si="11"/>
        <v/>
      </c>
      <c r="X129" s="47" t="str">
        <f>IFERROR(
_xlfn.XLOOKUP(Q129,
Campaign_Metadata_clean!A:A,
Campaign_Metadata_clean!B:B),
"")</f>
        <v/>
      </c>
      <c r="Y129" s="47" t="str">
        <f>IFERROR(
_xlfn.XLOOKUP(Q129,
Campaign_Metadata_clean!A:A,
Campaign_Metadata_clean!C:C),
"")</f>
        <v/>
      </c>
      <c r="Z129">
        <f t="shared" si="13"/>
        <v>0</v>
      </c>
      <c r="AA129">
        <f t="shared" si="14"/>
        <v>0</v>
      </c>
      <c r="AB129">
        <f t="shared" si="15"/>
        <v>0</v>
      </c>
    </row>
    <row r="130" spans="1:28">
      <c r="A130" s="1" t="s">
        <v>169</v>
      </c>
      <c r="B130" s="1" t="s">
        <v>24</v>
      </c>
      <c r="C130" s="46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21</v>
      </c>
      <c r="M130" s="1" t="s">
        <v>377</v>
      </c>
      <c r="N130" s="13">
        <f t="shared" si="12"/>
        <v>7.9993453221219743E-2</v>
      </c>
      <c r="O130">
        <f t="shared" ref="O130:O193" si="16">RANK(N130,$N:$N,0)</f>
        <v>179</v>
      </c>
      <c r="P130">
        <f t="shared" ref="P130:P193" si="17">F130+G130+H130</f>
        <v>3910</v>
      </c>
      <c r="Q130" t="str">
        <f>IF(AND(--$C130&gt;=--Campaign_Metadata_clean!$B$2,--$C130&lt;=--Campaign_Metadata_clean!$C$2),"SummerBeats",
IF(AND(--$C130&gt;=--Campaign_Metadata_clean!$B$3,--$C130&lt;=--Campaign_Metadata_clean!$C$3),"Wrapped2024",
IF(AND(--$C130&gt;=--Campaign_Metadata_clean!$B$4,--$C130&lt;=--Campaign_Metadata_clean!$C$4),"ChillVibes",
IF(AND(--$C130&gt;=--Campaign_Metadata_clean!$B$5,--$C130&lt;=--Campaign_Metadata_clean!$C$5),"IndieWave","No Campaign"))))</f>
        <v>No Campaign</v>
      </c>
      <c r="R130" t="str">
        <f t="shared" ref="R130:R193" si="18">IF(AND(C130&gt;=DATE(2025,1,10), C130&lt;=DATE(2025,2,10)),
"During",
IF(C130&lt;DATE(2025,1,10),
"Before",
"Other"))</f>
        <v>Other</v>
      </c>
      <c r="S130" t="str">
        <f t="shared" ref="S130:S193" si="19">IF(OR(X130="",Y130=""),"",
IF(AND(C130&gt;=X130-30,C130&lt;X130),"Before",
IF(AND(C130&gt;=X130,C130&lt;=Y130),"During","Other")))</f>
        <v/>
      </c>
      <c r="X130" s="47" t="str">
        <f>IFERROR(
_xlfn.XLOOKUP(Q130,
Campaign_Metadata_clean!A:A,
Campaign_Metadata_clean!B:B),
"")</f>
        <v/>
      </c>
      <c r="Y130" s="47" t="str">
        <f>IFERROR(
_xlfn.XLOOKUP(Q130,
Campaign_Metadata_clean!A:A,
Campaign_Metadata_clean!C:C),
"")</f>
        <v/>
      </c>
      <c r="Z130">
        <f t="shared" si="13"/>
        <v>0</v>
      </c>
      <c r="AA130">
        <f t="shared" si="14"/>
        <v>0</v>
      </c>
      <c r="AB130">
        <f t="shared" si="15"/>
        <v>0</v>
      </c>
    </row>
    <row r="131" spans="1:28">
      <c r="A131" s="1" t="s">
        <v>170</v>
      </c>
      <c r="B131" s="1" t="s">
        <v>31</v>
      </c>
      <c r="C131" s="46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21</v>
      </c>
      <c r="M131" s="1" t="s">
        <v>378</v>
      </c>
      <c r="N131" s="13">
        <f t="shared" ref="N131:N194" si="20">(F131+G131+H131)/I131</f>
        <v>2.811915575741384E-2</v>
      </c>
      <c r="O131">
        <f t="shared" si="16"/>
        <v>298</v>
      </c>
      <c r="P131">
        <f t="shared" si="17"/>
        <v>1684</v>
      </c>
      <c r="Q131" t="str">
        <f>IF(AND(--$C131&gt;=--Campaign_Metadata_clean!$B$2,--$C131&lt;=--Campaign_Metadata_clean!$C$2),"SummerBeats",
IF(AND(--$C131&gt;=--Campaign_Metadata_clean!$B$3,--$C131&lt;=--Campaign_Metadata_clean!$C$3),"Wrapped2024",
IF(AND(--$C131&gt;=--Campaign_Metadata_clean!$B$4,--$C131&lt;=--Campaign_Metadata_clean!$C$4),"ChillVibes",
IF(AND(--$C131&gt;=--Campaign_Metadata_clean!$B$5,--$C131&lt;=--Campaign_Metadata_clean!$C$5),"IndieWave","No Campaign"))))</f>
        <v>No Campaign</v>
      </c>
      <c r="R131" t="str">
        <f t="shared" si="18"/>
        <v>Before</v>
      </c>
      <c r="S131" t="str">
        <f t="shared" si="19"/>
        <v/>
      </c>
      <c r="X131" s="47" t="str">
        <f>IFERROR(
_xlfn.XLOOKUP(Q131,
Campaign_Metadata_clean!A:A,
Campaign_Metadata_clean!B:B),
"")</f>
        <v/>
      </c>
      <c r="Y131" s="47" t="str">
        <f>IFERROR(
_xlfn.XLOOKUP(Q131,
Campaign_Metadata_clean!A:A,
Campaign_Metadata_clean!C:C),
"")</f>
        <v/>
      </c>
      <c r="Z131">
        <f t="shared" ref="Z131:Z194" si="21">IFERROR(
AVERAGEIFS(N:N,
C:C, "&gt;=" &amp; X131-30,
C:C, "&lt;" &amp; X131),
0)</f>
        <v>0</v>
      </c>
      <c r="AA131">
        <f t="shared" ref="AA131:AA194" si="22">IFERROR(
AVERAGEIFS(N:N,
C:C, "&gt;=" &amp; X131,
C:C, "&lt;=" &amp; Y131),
0)</f>
        <v>0</v>
      </c>
      <c r="AB131">
        <f t="shared" ref="AB131:AB194" si="23">IF(AA131=0,0,(AB131-AA131)/AA131)</f>
        <v>0</v>
      </c>
    </row>
    <row r="132" spans="1:28">
      <c r="A132" s="1" t="s">
        <v>171</v>
      </c>
      <c r="B132" s="1" t="s">
        <v>24</v>
      </c>
      <c r="C132" s="46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/>
      <c r="N132" s="13">
        <f t="shared" si="20"/>
        <v>5.4592988710635768E-2</v>
      </c>
      <c r="O132">
        <f t="shared" si="16"/>
        <v>238</v>
      </c>
      <c r="P132">
        <f t="shared" si="17"/>
        <v>2297</v>
      </c>
      <c r="Q132" t="str">
        <f>IF(AND(--$C132&gt;=--Campaign_Metadata_clean!$B$2,--$C132&lt;=--Campaign_Metadata_clean!$C$2),"SummerBeats",
IF(AND(--$C132&gt;=--Campaign_Metadata_clean!$B$3,--$C132&lt;=--Campaign_Metadata_clean!$C$3),"Wrapped2024",
IF(AND(--$C132&gt;=--Campaign_Metadata_clean!$B$4,--$C132&lt;=--Campaign_Metadata_clean!$C$4),"ChillVibes",
IF(AND(--$C132&gt;=--Campaign_Metadata_clean!$B$5,--$C132&lt;=--Campaign_Metadata_clean!$C$5),"IndieWave","No Campaign"))))</f>
        <v>IndieWave</v>
      </c>
      <c r="R132" t="str">
        <f t="shared" si="18"/>
        <v>Other</v>
      </c>
      <c r="S132" t="str">
        <f t="shared" si="19"/>
        <v>During</v>
      </c>
      <c r="X132" s="47">
        <f>IFERROR(
_xlfn.XLOOKUP(Q132,
Campaign_Metadata_clean!A:A,
Campaign_Metadata_clean!B:B),
"")</f>
        <v>45717</v>
      </c>
      <c r="Y132" s="47">
        <f>IFERROR(
_xlfn.XLOOKUP(Q132,
Campaign_Metadata_clean!A:A,
Campaign_Metadata_clean!C:C),
"")</f>
        <v>45747</v>
      </c>
      <c r="Z132">
        <f t="shared" si="21"/>
        <v>0.11058335030833821</v>
      </c>
      <c r="AA132">
        <f t="shared" si="22"/>
        <v>0.10264545756473814</v>
      </c>
      <c r="AB132">
        <f t="shared" ca="1" si="23"/>
        <v>0</v>
      </c>
    </row>
    <row r="133" spans="1:28">
      <c r="A133" s="1" t="s">
        <v>172</v>
      </c>
      <c r="B133" s="1" t="s">
        <v>24</v>
      </c>
      <c r="C133" s="46">
        <v>45563</v>
      </c>
      <c r="D133" s="1" t="s">
        <v>15</v>
      </c>
      <c r="E133" s="1" t="s">
        <v>373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/>
      <c r="N133" s="13">
        <f t="shared" si="20"/>
        <v>9.2466575934672959E-2</v>
      </c>
      <c r="O133">
        <f t="shared" si="16"/>
        <v>132</v>
      </c>
      <c r="P133">
        <f t="shared" si="17"/>
        <v>4620</v>
      </c>
      <c r="Q133" t="str">
        <f>IF(AND(--$C133&gt;=--Campaign_Metadata_clean!$B$2,--$C133&lt;=--Campaign_Metadata_clean!$C$2),"SummerBeats",
IF(AND(--$C133&gt;=--Campaign_Metadata_clean!$B$3,--$C133&lt;=--Campaign_Metadata_clean!$C$3),"Wrapped2024",
IF(AND(--$C133&gt;=--Campaign_Metadata_clean!$B$4,--$C133&lt;=--Campaign_Metadata_clean!$C$4),"ChillVibes",
IF(AND(--$C133&gt;=--Campaign_Metadata_clean!$B$5,--$C133&lt;=--Campaign_Metadata_clean!$C$5),"IndieWave","No Campaign"))))</f>
        <v>No Campaign</v>
      </c>
      <c r="R133" t="str">
        <f t="shared" si="18"/>
        <v>Before</v>
      </c>
      <c r="S133" t="str">
        <f t="shared" si="19"/>
        <v/>
      </c>
      <c r="X133" s="47" t="str">
        <f>IFERROR(
_xlfn.XLOOKUP(Q133,
Campaign_Metadata_clean!A:A,
Campaign_Metadata_clean!B:B),
"")</f>
        <v/>
      </c>
      <c r="Y133" s="47" t="str">
        <f>IFERROR(
_xlfn.XLOOKUP(Q133,
Campaign_Metadata_clean!A:A,
Campaign_Metadata_clean!C:C),
"")</f>
        <v/>
      </c>
      <c r="Z133">
        <f t="shared" si="21"/>
        <v>0</v>
      </c>
      <c r="AA133">
        <f t="shared" si="22"/>
        <v>0</v>
      </c>
      <c r="AB133">
        <f t="shared" si="23"/>
        <v>0</v>
      </c>
    </row>
    <row r="134" spans="1:28">
      <c r="A134" s="1" t="s">
        <v>173</v>
      </c>
      <c r="B134" s="1" t="s">
        <v>31</v>
      </c>
      <c r="C134" s="46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21</v>
      </c>
      <c r="M134" s="1" t="s">
        <v>378</v>
      </c>
      <c r="N134" s="13">
        <f t="shared" si="20"/>
        <v>4.7508511296812134E-2</v>
      </c>
      <c r="O134">
        <f t="shared" si="16"/>
        <v>260</v>
      </c>
      <c r="P134">
        <f t="shared" si="17"/>
        <v>2456</v>
      </c>
      <c r="Q134" t="str">
        <f>IF(AND(--$C134&gt;=--Campaign_Metadata_clean!$B$2,--$C134&lt;=--Campaign_Metadata_clean!$C$2),"SummerBeats",
IF(AND(--$C134&gt;=--Campaign_Metadata_clean!$B$3,--$C134&lt;=--Campaign_Metadata_clean!$C$3),"Wrapped2024",
IF(AND(--$C134&gt;=--Campaign_Metadata_clean!$B$4,--$C134&lt;=--Campaign_Metadata_clean!$C$4),"ChillVibes",
IF(AND(--$C134&gt;=--Campaign_Metadata_clean!$B$5,--$C134&lt;=--Campaign_Metadata_clean!$C$5),"IndieWave","No Campaign"))))</f>
        <v>No Campaign</v>
      </c>
      <c r="R134" t="str">
        <f t="shared" si="18"/>
        <v>Before</v>
      </c>
      <c r="S134" t="str">
        <f t="shared" si="19"/>
        <v/>
      </c>
      <c r="X134" s="47" t="str">
        <f>IFERROR(
_xlfn.XLOOKUP(Q134,
Campaign_Metadata_clean!A:A,
Campaign_Metadata_clean!B:B),
"")</f>
        <v/>
      </c>
      <c r="Y134" s="47" t="str">
        <f>IFERROR(
_xlfn.XLOOKUP(Q134,
Campaign_Metadata_clean!A:A,
Campaign_Metadata_clean!C:C),
"")</f>
        <v/>
      </c>
      <c r="Z134">
        <f t="shared" si="21"/>
        <v>0</v>
      </c>
      <c r="AA134">
        <f t="shared" si="22"/>
        <v>0</v>
      </c>
      <c r="AB134">
        <f t="shared" si="23"/>
        <v>0</v>
      </c>
    </row>
    <row r="135" spans="1:28">
      <c r="A135" s="1" t="s">
        <v>174</v>
      </c>
      <c r="B135" s="1" t="s">
        <v>24</v>
      </c>
      <c r="C135" s="46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/>
      <c r="N135" s="13">
        <f t="shared" si="20"/>
        <v>7.4861184558434685E-2</v>
      </c>
      <c r="O135">
        <f t="shared" si="16"/>
        <v>189</v>
      </c>
      <c r="P135">
        <f t="shared" si="17"/>
        <v>2265</v>
      </c>
      <c r="Q135" t="str">
        <f>IF(AND(--$C135&gt;=--Campaign_Metadata_clean!$B$2,--$C135&lt;=--Campaign_Metadata_clean!$C$2),"SummerBeats",
IF(AND(--$C135&gt;=--Campaign_Metadata_clean!$B$3,--$C135&lt;=--Campaign_Metadata_clean!$C$3),"Wrapped2024",
IF(AND(--$C135&gt;=--Campaign_Metadata_clean!$B$4,--$C135&lt;=--Campaign_Metadata_clean!$C$4),"ChillVibes",
IF(AND(--$C135&gt;=--Campaign_Metadata_clean!$B$5,--$C135&lt;=--Campaign_Metadata_clean!$C$5),"IndieWave","No Campaign"))))</f>
        <v>No Campaign</v>
      </c>
      <c r="R135" t="str">
        <f t="shared" si="18"/>
        <v>Other</v>
      </c>
      <c r="S135" t="str">
        <f t="shared" si="19"/>
        <v/>
      </c>
      <c r="X135" s="47" t="str">
        <f>IFERROR(
_xlfn.XLOOKUP(Q135,
Campaign_Metadata_clean!A:A,
Campaign_Metadata_clean!B:B),
"")</f>
        <v/>
      </c>
      <c r="Y135" s="47" t="str">
        <f>IFERROR(
_xlfn.XLOOKUP(Q135,
Campaign_Metadata_clean!A:A,
Campaign_Metadata_clean!C:C),
"")</f>
        <v/>
      </c>
      <c r="Z135">
        <f t="shared" si="21"/>
        <v>0</v>
      </c>
      <c r="AA135">
        <f t="shared" si="22"/>
        <v>0</v>
      </c>
      <c r="AB135">
        <f t="shared" si="23"/>
        <v>0</v>
      </c>
    </row>
    <row r="136" spans="1:28">
      <c r="A136" s="1" t="s">
        <v>175</v>
      </c>
      <c r="B136" s="1" t="s">
        <v>24</v>
      </c>
      <c r="C136" s="46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377</v>
      </c>
      <c r="M136" s="1" t="s">
        <v>42</v>
      </c>
      <c r="N136" s="13">
        <f t="shared" si="20"/>
        <v>9.6834214933149046E-2</v>
      </c>
      <c r="O136">
        <f t="shared" si="16"/>
        <v>117</v>
      </c>
      <c r="P136">
        <f t="shared" si="17"/>
        <v>3643</v>
      </c>
      <c r="Q136" t="str">
        <f>IF(AND(--$C136&gt;=--Campaign_Metadata_clean!$B$2,--$C136&lt;=--Campaign_Metadata_clean!$C$2),"SummerBeats",
IF(AND(--$C136&gt;=--Campaign_Metadata_clean!$B$3,--$C136&lt;=--Campaign_Metadata_clean!$C$3),"Wrapped2024",
IF(AND(--$C136&gt;=--Campaign_Metadata_clean!$B$4,--$C136&lt;=--Campaign_Metadata_clean!$C$4),"ChillVibes",
IF(AND(--$C136&gt;=--Campaign_Metadata_clean!$B$5,--$C136&lt;=--Campaign_Metadata_clean!$C$5),"IndieWave","No Campaign"))))</f>
        <v>No Campaign</v>
      </c>
      <c r="R136" t="str">
        <f t="shared" si="18"/>
        <v>Before</v>
      </c>
      <c r="S136" t="str">
        <f t="shared" si="19"/>
        <v/>
      </c>
      <c r="X136" s="47" t="str">
        <f>IFERROR(
_xlfn.XLOOKUP(Q136,
Campaign_Metadata_clean!A:A,
Campaign_Metadata_clean!B:B),
"")</f>
        <v/>
      </c>
      <c r="Y136" s="47" t="str">
        <f>IFERROR(
_xlfn.XLOOKUP(Q136,
Campaign_Metadata_clean!A:A,
Campaign_Metadata_clean!C:C),
"")</f>
        <v/>
      </c>
      <c r="Z136">
        <f t="shared" si="21"/>
        <v>0</v>
      </c>
      <c r="AA136">
        <f t="shared" si="22"/>
        <v>0</v>
      </c>
      <c r="AB136">
        <f t="shared" si="23"/>
        <v>0</v>
      </c>
    </row>
    <row r="137" spans="1:28">
      <c r="A137" s="1" t="s">
        <v>176</v>
      </c>
      <c r="B137" s="1" t="s">
        <v>24</v>
      </c>
      <c r="C137" s="46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/>
      <c r="N137" s="13">
        <f t="shared" si="20"/>
        <v>0.18723441538528934</v>
      </c>
      <c r="O137">
        <f t="shared" si="16"/>
        <v>9</v>
      </c>
      <c r="P137">
        <f t="shared" si="17"/>
        <v>4274</v>
      </c>
      <c r="Q137" t="str">
        <f>IF(AND(--$C137&gt;=--Campaign_Metadata_clean!$B$2,--$C137&lt;=--Campaign_Metadata_clean!$C$2),"SummerBeats",
IF(AND(--$C137&gt;=--Campaign_Metadata_clean!$B$3,--$C137&lt;=--Campaign_Metadata_clean!$C$3),"Wrapped2024",
IF(AND(--$C137&gt;=--Campaign_Metadata_clean!$B$4,--$C137&lt;=--Campaign_Metadata_clean!$C$4),"ChillVibes",
IF(AND(--$C137&gt;=--Campaign_Metadata_clean!$B$5,--$C137&lt;=--Campaign_Metadata_clean!$C$5),"IndieWave","No Campaign"))))</f>
        <v>No Campaign</v>
      </c>
      <c r="R137" t="str">
        <f t="shared" si="18"/>
        <v>Before</v>
      </c>
      <c r="S137" t="str">
        <f t="shared" si="19"/>
        <v/>
      </c>
      <c r="X137" s="47" t="str">
        <f>IFERROR(
_xlfn.XLOOKUP(Q137,
Campaign_Metadata_clean!A:A,
Campaign_Metadata_clean!B:B),
"")</f>
        <v/>
      </c>
      <c r="Y137" s="47" t="str">
        <f>IFERROR(
_xlfn.XLOOKUP(Q137,
Campaign_Metadata_clean!A:A,
Campaign_Metadata_clean!C:C),
"")</f>
        <v/>
      </c>
      <c r="Z137">
        <f t="shared" si="21"/>
        <v>0</v>
      </c>
      <c r="AA137">
        <f t="shared" si="22"/>
        <v>0</v>
      </c>
      <c r="AB137">
        <f t="shared" si="23"/>
        <v>0</v>
      </c>
    </row>
    <row r="138" spans="1:28">
      <c r="A138" s="1" t="s">
        <v>177</v>
      </c>
      <c r="B138" s="1" t="s">
        <v>24</v>
      </c>
      <c r="C138" s="46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45</v>
      </c>
      <c r="M138" s="1" t="s">
        <v>42</v>
      </c>
      <c r="N138" s="13">
        <f t="shared" si="20"/>
        <v>0.16610252187966945</v>
      </c>
      <c r="O138">
        <f t="shared" si="16"/>
        <v>21</v>
      </c>
      <c r="P138">
        <f t="shared" si="17"/>
        <v>5447</v>
      </c>
      <c r="Q138" t="str">
        <f>IF(AND(--$C138&gt;=--Campaign_Metadata_clean!$B$2,--$C138&lt;=--Campaign_Metadata_clean!$C$2),"SummerBeats",
IF(AND(--$C138&gt;=--Campaign_Metadata_clean!$B$3,--$C138&lt;=--Campaign_Metadata_clean!$C$3),"Wrapped2024",
IF(AND(--$C138&gt;=--Campaign_Metadata_clean!$B$4,--$C138&lt;=--Campaign_Metadata_clean!$C$4),"ChillVibes",
IF(AND(--$C138&gt;=--Campaign_Metadata_clean!$B$5,--$C138&lt;=--Campaign_Metadata_clean!$C$5),"IndieWave","No Campaign"))))</f>
        <v>No Campaign</v>
      </c>
      <c r="R138" t="str">
        <f t="shared" si="18"/>
        <v>Before</v>
      </c>
      <c r="S138" t="str">
        <f t="shared" si="19"/>
        <v/>
      </c>
      <c r="X138" s="47" t="str">
        <f>IFERROR(
_xlfn.XLOOKUP(Q138,
Campaign_Metadata_clean!A:A,
Campaign_Metadata_clean!B:B),
"")</f>
        <v/>
      </c>
      <c r="Y138" s="47" t="str">
        <f>IFERROR(
_xlfn.XLOOKUP(Q138,
Campaign_Metadata_clean!A:A,
Campaign_Metadata_clean!C:C),
"")</f>
        <v/>
      </c>
      <c r="Z138">
        <f t="shared" si="21"/>
        <v>0</v>
      </c>
      <c r="AA138">
        <f t="shared" si="22"/>
        <v>0</v>
      </c>
      <c r="AB138">
        <f t="shared" si="23"/>
        <v>0</v>
      </c>
    </row>
    <row r="139" spans="1:28">
      <c r="A139" s="1" t="s">
        <v>178</v>
      </c>
      <c r="B139" s="1" t="s">
        <v>24</v>
      </c>
      <c r="C139" s="46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21</v>
      </c>
      <c r="M139" s="1" t="s">
        <v>377</v>
      </c>
      <c r="N139" s="13">
        <f t="shared" si="20"/>
        <v>2.7809319322005904E-2</v>
      </c>
      <c r="O139">
        <f t="shared" si="16"/>
        <v>299</v>
      </c>
      <c r="P139">
        <f t="shared" si="17"/>
        <v>1347</v>
      </c>
      <c r="Q139" t="str">
        <f>IF(AND(--$C139&gt;=--Campaign_Metadata_clean!$B$2,--$C139&lt;=--Campaign_Metadata_clean!$C$2),"SummerBeats",
IF(AND(--$C139&gt;=--Campaign_Metadata_clean!$B$3,--$C139&lt;=--Campaign_Metadata_clean!$C$3),"Wrapped2024",
IF(AND(--$C139&gt;=--Campaign_Metadata_clean!$B$4,--$C139&lt;=--Campaign_Metadata_clean!$C$4),"ChillVibes",
IF(AND(--$C139&gt;=--Campaign_Metadata_clean!$B$5,--$C139&lt;=--Campaign_Metadata_clean!$C$5),"IndieWave","No Campaign"))))</f>
        <v>No Campaign</v>
      </c>
      <c r="R139" t="str">
        <f t="shared" si="18"/>
        <v>Before</v>
      </c>
      <c r="S139" t="str">
        <f t="shared" si="19"/>
        <v/>
      </c>
      <c r="X139" s="47" t="str">
        <f>IFERROR(
_xlfn.XLOOKUP(Q139,
Campaign_Metadata_clean!A:A,
Campaign_Metadata_clean!B:B),
"")</f>
        <v/>
      </c>
      <c r="Y139" s="47" t="str">
        <f>IFERROR(
_xlfn.XLOOKUP(Q139,
Campaign_Metadata_clean!A:A,
Campaign_Metadata_clean!C:C),
"")</f>
        <v/>
      </c>
      <c r="Z139">
        <f t="shared" si="21"/>
        <v>0</v>
      </c>
      <c r="AA139">
        <f t="shared" si="22"/>
        <v>0</v>
      </c>
      <c r="AB139">
        <f t="shared" si="23"/>
        <v>0</v>
      </c>
    </row>
    <row r="140" spans="1:28">
      <c r="A140" s="1" t="s">
        <v>179</v>
      </c>
      <c r="B140" s="1" t="s">
        <v>24</v>
      </c>
      <c r="C140" s="46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/>
      <c r="N140" s="13">
        <f t="shared" si="20"/>
        <v>0.11645414595490239</v>
      </c>
      <c r="O140">
        <f t="shared" si="16"/>
        <v>69</v>
      </c>
      <c r="P140">
        <f t="shared" si="17"/>
        <v>3233</v>
      </c>
      <c r="Q140" t="str">
        <f>IF(AND(--$C140&gt;=--Campaign_Metadata_clean!$B$2,--$C140&lt;=--Campaign_Metadata_clean!$C$2),"SummerBeats",
IF(AND(--$C140&gt;=--Campaign_Metadata_clean!$B$3,--$C140&lt;=--Campaign_Metadata_clean!$C$3),"Wrapped2024",
IF(AND(--$C140&gt;=--Campaign_Metadata_clean!$B$4,--$C140&lt;=--Campaign_Metadata_clean!$C$4),"ChillVibes",
IF(AND(--$C140&gt;=--Campaign_Metadata_clean!$B$5,--$C140&lt;=--Campaign_Metadata_clean!$C$5),"IndieWave","No Campaign"))))</f>
        <v>IndieWave</v>
      </c>
      <c r="R140" t="str">
        <f t="shared" si="18"/>
        <v>Other</v>
      </c>
      <c r="S140" t="str">
        <f t="shared" si="19"/>
        <v>During</v>
      </c>
      <c r="X140" s="47">
        <f>IFERROR(
_xlfn.XLOOKUP(Q140,
Campaign_Metadata_clean!A:A,
Campaign_Metadata_clean!B:B),
"")</f>
        <v>45717</v>
      </c>
      <c r="Y140" s="47">
        <f>IFERROR(
_xlfn.XLOOKUP(Q140,
Campaign_Metadata_clean!A:A,
Campaign_Metadata_clean!C:C),
"")</f>
        <v>45747</v>
      </c>
      <c r="Z140">
        <f t="shared" si="21"/>
        <v>0.11058335030833821</v>
      </c>
      <c r="AA140">
        <f t="shared" si="22"/>
        <v>0.10264545756473814</v>
      </c>
      <c r="AB140">
        <f t="shared" ca="1" si="23"/>
        <v>0</v>
      </c>
    </row>
    <row r="141" spans="1:28">
      <c r="A141" s="1" t="s">
        <v>180</v>
      </c>
      <c r="B141" s="1" t="s">
        <v>24</v>
      </c>
      <c r="C141" s="46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377</v>
      </c>
      <c r="M141" s="1" t="s">
        <v>42</v>
      </c>
      <c r="N141" s="13">
        <f t="shared" si="20"/>
        <v>8.702596166915863E-2</v>
      </c>
      <c r="O141">
        <f t="shared" si="16"/>
        <v>146</v>
      </c>
      <c r="P141">
        <f t="shared" si="17"/>
        <v>2561</v>
      </c>
      <c r="Q141" t="str">
        <f>IF(AND(--$C141&gt;=--Campaign_Metadata_clean!$B$2,--$C141&lt;=--Campaign_Metadata_clean!$C$2),"SummerBeats",
IF(AND(--$C141&gt;=--Campaign_Metadata_clean!$B$3,--$C141&lt;=--Campaign_Metadata_clean!$C$3),"Wrapped2024",
IF(AND(--$C141&gt;=--Campaign_Metadata_clean!$B$4,--$C141&lt;=--Campaign_Metadata_clean!$C$4),"ChillVibes",
IF(AND(--$C141&gt;=--Campaign_Metadata_clean!$B$5,--$C141&lt;=--Campaign_Metadata_clean!$C$5),"IndieWave","No Campaign"))))</f>
        <v>No Campaign</v>
      </c>
      <c r="R141" t="str">
        <f t="shared" si="18"/>
        <v>Before</v>
      </c>
      <c r="S141" t="str">
        <f t="shared" si="19"/>
        <v/>
      </c>
      <c r="X141" s="47" t="str">
        <f>IFERROR(
_xlfn.XLOOKUP(Q141,
Campaign_Metadata_clean!A:A,
Campaign_Metadata_clean!B:B),
"")</f>
        <v/>
      </c>
      <c r="Y141" s="47" t="str">
        <f>IFERROR(
_xlfn.XLOOKUP(Q141,
Campaign_Metadata_clean!A:A,
Campaign_Metadata_clean!C:C),
"")</f>
        <v/>
      </c>
      <c r="Z141">
        <f t="shared" si="21"/>
        <v>0</v>
      </c>
      <c r="AA141">
        <f t="shared" si="22"/>
        <v>0</v>
      </c>
      <c r="AB141">
        <f t="shared" si="23"/>
        <v>0</v>
      </c>
    </row>
    <row r="142" spans="1:28">
      <c r="A142" s="1" t="s">
        <v>181</v>
      </c>
      <c r="B142" s="1" t="s">
        <v>31</v>
      </c>
      <c r="C142" s="46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21</v>
      </c>
      <c r="M142" s="1" t="s">
        <v>45</v>
      </c>
      <c r="N142" s="13">
        <f t="shared" si="20"/>
        <v>7.0594928198320889E-2</v>
      </c>
      <c r="O142">
        <f t="shared" si="16"/>
        <v>201</v>
      </c>
      <c r="P142">
        <f t="shared" si="17"/>
        <v>4095</v>
      </c>
      <c r="Q142" t="str">
        <f>IF(AND(--$C142&gt;=--Campaign_Metadata_clean!$B$2,--$C142&lt;=--Campaign_Metadata_clean!$C$2),"SummerBeats",
IF(AND(--$C142&gt;=--Campaign_Metadata_clean!$B$3,--$C142&lt;=--Campaign_Metadata_clean!$C$3),"Wrapped2024",
IF(AND(--$C142&gt;=--Campaign_Metadata_clean!$B$4,--$C142&lt;=--Campaign_Metadata_clean!$C$4),"ChillVibes",
IF(AND(--$C142&gt;=--Campaign_Metadata_clean!$B$5,--$C142&lt;=--Campaign_Metadata_clean!$C$5),"IndieWave","No Campaign"))))</f>
        <v>No Campaign</v>
      </c>
      <c r="R142" t="str">
        <f t="shared" si="18"/>
        <v>Before</v>
      </c>
      <c r="S142" t="str">
        <f t="shared" si="19"/>
        <v/>
      </c>
      <c r="X142" s="47" t="str">
        <f>IFERROR(
_xlfn.XLOOKUP(Q142,
Campaign_Metadata_clean!A:A,
Campaign_Metadata_clean!B:B),
"")</f>
        <v/>
      </c>
      <c r="Y142" s="47" t="str">
        <f>IFERROR(
_xlfn.XLOOKUP(Q142,
Campaign_Metadata_clean!A:A,
Campaign_Metadata_clean!C:C),
"")</f>
        <v/>
      </c>
      <c r="Z142">
        <f t="shared" si="21"/>
        <v>0</v>
      </c>
      <c r="AA142">
        <f t="shared" si="22"/>
        <v>0</v>
      </c>
      <c r="AB142">
        <f t="shared" si="23"/>
        <v>0</v>
      </c>
    </row>
    <row r="143" spans="1:28">
      <c r="A143" s="1" t="s">
        <v>182</v>
      </c>
      <c r="B143" s="1" t="s">
        <v>14</v>
      </c>
      <c r="C143" s="46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/>
      <c r="N143" s="13">
        <f t="shared" si="20"/>
        <v>0.11731037798484398</v>
      </c>
      <c r="O143">
        <f t="shared" si="16"/>
        <v>67</v>
      </c>
      <c r="P143">
        <f t="shared" si="17"/>
        <v>5124</v>
      </c>
      <c r="Q143" t="str">
        <f>IF(AND(--$C143&gt;=--Campaign_Metadata_clean!$B$2,--$C143&lt;=--Campaign_Metadata_clean!$C$2),"SummerBeats",
IF(AND(--$C143&gt;=--Campaign_Metadata_clean!$B$3,--$C143&lt;=--Campaign_Metadata_clean!$C$3),"Wrapped2024",
IF(AND(--$C143&gt;=--Campaign_Metadata_clean!$B$4,--$C143&lt;=--Campaign_Metadata_clean!$C$4),"ChillVibes",
IF(AND(--$C143&gt;=--Campaign_Metadata_clean!$B$5,--$C143&lt;=--Campaign_Metadata_clean!$C$5),"IndieWave","No Campaign"))))</f>
        <v>Wrapped2024</v>
      </c>
      <c r="R143" t="str">
        <f t="shared" si="18"/>
        <v>Before</v>
      </c>
      <c r="S143" t="str">
        <f t="shared" si="19"/>
        <v>During</v>
      </c>
      <c r="X143" s="47">
        <f>IFERROR(
_xlfn.XLOOKUP(Q143,
Campaign_Metadata_clean!A:A,
Campaign_Metadata_clean!B:B),
"")</f>
        <v>45627</v>
      </c>
      <c r="Y143" s="47">
        <f>IFERROR(
_xlfn.XLOOKUP(Q143,
Campaign_Metadata_clean!A:A,
Campaign_Metadata_clean!C:C),
"")</f>
        <v>45657</v>
      </c>
      <c r="Z143">
        <f t="shared" si="21"/>
        <v>9.2680818872661358E-2</v>
      </c>
      <c r="AA143">
        <f t="shared" si="22"/>
        <v>9.9294724623054248E-2</v>
      </c>
      <c r="AB143">
        <f t="shared" ca="1" si="23"/>
        <v>0</v>
      </c>
    </row>
    <row r="144" spans="1:28">
      <c r="A144" s="1" t="s">
        <v>183</v>
      </c>
      <c r="B144" s="1" t="s">
        <v>14</v>
      </c>
      <c r="C144" s="46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/>
      <c r="N144" s="13">
        <f t="shared" si="20"/>
        <v>9.2634518149573616E-2</v>
      </c>
      <c r="O144">
        <f t="shared" si="16"/>
        <v>131</v>
      </c>
      <c r="P144">
        <f t="shared" si="17"/>
        <v>4910</v>
      </c>
      <c r="Q144" t="str">
        <f>IF(AND(--$C144&gt;=--Campaign_Metadata_clean!$B$2,--$C144&lt;=--Campaign_Metadata_clean!$C$2),"SummerBeats",
IF(AND(--$C144&gt;=--Campaign_Metadata_clean!$B$3,--$C144&lt;=--Campaign_Metadata_clean!$C$3),"Wrapped2024",
IF(AND(--$C144&gt;=--Campaign_Metadata_clean!$B$4,--$C144&lt;=--Campaign_Metadata_clean!$C$4),"ChillVibes",
IF(AND(--$C144&gt;=--Campaign_Metadata_clean!$B$5,--$C144&lt;=--Campaign_Metadata_clean!$C$5),"IndieWave","No Campaign"))))</f>
        <v>SummerBeats</v>
      </c>
      <c r="R144" t="str">
        <f t="shared" si="18"/>
        <v>Before</v>
      </c>
      <c r="S144" t="str">
        <f t="shared" si="19"/>
        <v>During</v>
      </c>
      <c r="X144" s="47">
        <f>IFERROR(
_xlfn.XLOOKUP(Q144,
Campaign_Metadata_clean!A:A,
Campaign_Metadata_clean!B:B),
"")</f>
        <v>45458</v>
      </c>
      <c r="Y144" s="47">
        <f>IFERROR(
_xlfn.XLOOKUP(Q144,
Campaign_Metadata_clean!A:A,
Campaign_Metadata_clean!C:C),
"")</f>
        <v>45488</v>
      </c>
      <c r="Z144">
        <f t="shared" si="21"/>
        <v>7.7477551774674469E-2</v>
      </c>
      <c r="AA144">
        <f t="shared" si="22"/>
        <v>9.67495057607137E-2</v>
      </c>
      <c r="AB144">
        <f t="shared" ca="1" si="23"/>
        <v>0</v>
      </c>
    </row>
    <row r="145" spans="1:28">
      <c r="A145" s="1" t="s">
        <v>184</v>
      </c>
      <c r="B145" s="1" t="s">
        <v>14</v>
      </c>
      <c r="C145" s="46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45</v>
      </c>
      <c r="M145" s="1" t="s">
        <v>42</v>
      </c>
      <c r="N145" s="13">
        <f t="shared" si="20"/>
        <v>6.0370736430199488E-2</v>
      </c>
      <c r="O145">
        <f t="shared" si="16"/>
        <v>222</v>
      </c>
      <c r="P145">
        <f t="shared" si="17"/>
        <v>2993</v>
      </c>
      <c r="Q145" t="str">
        <f>IF(AND(--$C145&gt;=--Campaign_Metadata_clean!$B$2,--$C145&lt;=--Campaign_Metadata_clean!$C$2),"SummerBeats",
IF(AND(--$C145&gt;=--Campaign_Metadata_clean!$B$3,--$C145&lt;=--Campaign_Metadata_clean!$C$3),"Wrapped2024",
IF(AND(--$C145&gt;=--Campaign_Metadata_clean!$B$4,--$C145&lt;=--Campaign_Metadata_clean!$C$4),"ChillVibes",
IF(AND(--$C145&gt;=--Campaign_Metadata_clean!$B$5,--$C145&lt;=--Campaign_Metadata_clean!$C$5),"IndieWave","No Campaign"))))</f>
        <v>No Campaign</v>
      </c>
      <c r="R145" t="str">
        <f t="shared" si="18"/>
        <v>Other</v>
      </c>
      <c r="S145" t="str">
        <f t="shared" si="19"/>
        <v/>
      </c>
      <c r="X145" s="47" t="str">
        <f>IFERROR(
_xlfn.XLOOKUP(Q145,
Campaign_Metadata_clean!A:A,
Campaign_Metadata_clean!B:B),
"")</f>
        <v/>
      </c>
      <c r="Y145" s="47" t="str">
        <f>IFERROR(
_xlfn.XLOOKUP(Q145,
Campaign_Metadata_clean!A:A,
Campaign_Metadata_clean!C:C),
"")</f>
        <v/>
      </c>
      <c r="Z145">
        <f t="shared" si="21"/>
        <v>0</v>
      </c>
      <c r="AA145">
        <f t="shared" si="22"/>
        <v>0</v>
      </c>
      <c r="AB145">
        <f t="shared" si="23"/>
        <v>0</v>
      </c>
    </row>
    <row r="146" spans="1:28">
      <c r="A146" s="1" t="s">
        <v>185</v>
      </c>
      <c r="B146" s="1" t="s">
        <v>24</v>
      </c>
      <c r="C146" s="46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377</v>
      </c>
      <c r="M146" s="1" t="s">
        <v>42</v>
      </c>
      <c r="N146" s="13">
        <f t="shared" si="20"/>
        <v>0.11477740733477153</v>
      </c>
      <c r="O146">
        <f t="shared" si="16"/>
        <v>71</v>
      </c>
      <c r="P146">
        <f t="shared" si="17"/>
        <v>4682</v>
      </c>
      <c r="Q146" t="str">
        <f>IF(AND(--$C146&gt;=--Campaign_Metadata_clean!$B$2,--$C146&lt;=--Campaign_Metadata_clean!$C$2),"SummerBeats",
IF(AND(--$C146&gt;=--Campaign_Metadata_clean!$B$3,--$C146&lt;=--Campaign_Metadata_clean!$C$3),"Wrapped2024",
IF(AND(--$C146&gt;=--Campaign_Metadata_clean!$B$4,--$C146&lt;=--Campaign_Metadata_clean!$C$4),"ChillVibes",
IF(AND(--$C146&gt;=--Campaign_Metadata_clean!$B$5,--$C146&lt;=--Campaign_Metadata_clean!$C$5),"IndieWave","No Campaign"))))</f>
        <v>No Campaign</v>
      </c>
      <c r="R146" t="str">
        <f t="shared" si="18"/>
        <v>Other</v>
      </c>
      <c r="S146" t="str">
        <f t="shared" si="19"/>
        <v/>
      </c>
      <c r="X146" s="47" t="str">
        <f>IFERROR(
_xlfn.XLOOKUP(Q146,
Campaign_Metadata_clean!A:A,
Campaign_Metadata_clean!B:B),
"")</f>
        <v/>
      </c>
      <c r="Y146" s="47" t="str">
        <f>IFERROR(
_xlfn.XLOOKUP(Q146,
Campaign_Metadata_clean!A:A,
Campaign_Metadata_clean!C:C),
"")</f>
        <v/>
      </c>
      <c r="Z146">
        <f t="shared" si="21"/>
        <v>0</v>
      </c>
      <c r="AA146">
        <f t="shared" si="22"/>
        <v>0</v>
      </c>
      <c r="AB146">
        <f t="shared" si="23"/>
        <v>0</v>
      </c>
    </row>
    <row r="147" spans="1:28">
      <c r="A147" s="1" t="s">
        <v>186</v>
      </c>
      <c r="B147" s="1" t="s">
        <v>14</v>
      </c>
      <c r="C147" s="46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/>
      <c r="N147" s="13">
        <f t="shared" si="20"/>
        <v>8.1504318676747664E-2</v>
      </c>
      <c r="O147">
        <f t="shared" si="16"/>
        <v>172</v>
      </c>
      <c r="P147">
        <f t="shared" si="17"/>
        <v>3331</v>
      </c>
      <c r="Q147" t="str">
        <f>IF(AND(--$C147&gt;=--Campaign_Metadata_clean!$B$2,--$C147&lt;=--Campaign_Metadata_clean!$C$2),"SummerBeats",
IF(AND(--$C147&gt;=--Campaign_Metadata_clean!$B$3,--$C147&lt;=--Campaign_Metadata_clean!$C$3),"Wrapped2024",
IF(AND(--$C147&gt;=--Campaign_Metadata_clean!$B$4,--$C147&lt;=--Campaign_Metadata_clean!$C$4),"ChillVibes",
IF(AND(--$C147&gt;=--Campaign_Metadata_clean!$B$5,--$C147&lt;=--Campaign_Metadata_clean!$C$5),"IndieWave","No Campaign"))))</f>
        <v>No Campaign</v>
      </c>
      <c r="R147" t="str">
        <f t="shared" si="18"/>
        <v>Other</v>
      </c>
      <c r="S147" t="str">
        <f t="shared" si="19"/>
        <v/>
      </c>
      <c r="X147" s="47" t="str">
        <f>IFERROR(
_xlfn.XLOOKUP(Q147,
Campaign_Metadata_clean!A:A,
Campaign_Metadata_clean!B:B),
"")</f>
        <v/>
      </c>
      <c r="Y147" s="47" t="str">
        <f>IFERROR(
_xlfn.XLOOKUP(Q147,
Campaign_Metadata_clean!A:A,
Campaign_Metadata_clean!C:C),
"")</f>
        <v/>
      </c>
      <c r="Z147">
        <f t="shared" si="21"/>
        <v>0</v>
      </c>
      <c r="AA147">
        <f t="shared" si="22"/>
        <v>0</v>
      </c>
      <c r="AB147">
        <f t="shared" si="23"/>
        <v>0</v>
      </c>
    </row>
    <row r="148" spans="1:28">
      <c r="A148" s="1" t="s">
        <v>187</v>
      </c>
      <c r="B148" s="1" t="s">
        <v>24</v>
      </c>
      <c r="C148" s="46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377</v>
      </c>
      <c r="M148" s="1" t="s">
        <v>42</v>
      </c>
      <c r="N148" s="13">
        <f t="shared" si="20"/>
        <v>7.1988159338556151E-2</v>
      </c>
      <c r="O148">
        <f t="shared" si="16"/>
        <v>196</v>
      </c>
      <c r="P148">
        <f t="shared" si="17"/>
        <v>2821</v>
      </c>
      <c r="Q148" t="str">
        <f>IF(AND(--$C148&gt;=--Campaign_Metadata_clean!$B$2,--$C148&lt;=--Campaign_Metadata_clean!$C$2),"SummerBeats",
IF(AND(--$C148&gt;=--Campaign_Metadata_clean!$B$3,--$C148&lt;=--Campaign_Metadata_clean!$C$3),"Wrapped2024",
IF(AND(--$C148&gt;=--Campaign_Metadata_clean!$B$4,--$C148&lt;=--Campaign_Metadata_clean!$C$4),"ChillVibes",
IF(AND(--$C148&gt;=--Campaign_Metadata_clean!$B$5,--$C148&lt;=--Campaign_Metadata_clean!$C$5),"IndieWave","No Campaign"))))</f>
        <v>No Campaign</v>
      </c>
      <c r="R148" t="str">
        <f t="shared" si="18"/>
        <v>Before</v>
      </c>
      <c r="S148" t="str">
        <f t="shared" si="19"/>
        <v/>
      </c>
      <c r="X148" s="47" t="str">
        <f>IFERROR(
_xlfn.XLOOKUP(Q148,
Campaign_Metadata_clean!A:A,
Campaign_Metadata_clean!B:B),
"")</f>
        <v/>
      </c>
      <c r="Y148" s="47" t="str">
        <f>IFERROR(
_xlfn.XLOOKUP(Q148,
Campaign_Metadata_clean!A:A,
Campaign_Metadata_clean!C:C),
"")</f>
        <v/>
      </c>
      <c r="Z148">
        <f t="shared" si="21"/>
        <v>0</v>
      </c>
      <c r="AA148">
        <f t="shared" si="22"/>
        <v>0</v>
      </c>
      <c r="AB148">
        <f t="shared" si="23"/>
        <v>0</v>
      </c>
    </row>
    <row r="149" spans="1:28">
      <c r="A149" s="1" t="s">
        <v>188</v>
      </c>
      <c r="B149" s="1" t="s">
        <v>24</v>
      </c>
      <c r="C149" s="46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21</v>
      </c>
      <c r="M149" s="1" t="s">
        <v>377</v>
      </c>
      <c r="N149" s="13">
        <f t="shared" si="20"/>
        <v>0.10708707332819627</v>
      </c>
      <c r="O149">
        <f t="shared" si="16"/>
        <v>92</v>
      </c>
      <c r="P149">
        <f t="shared" si="17"/>
        <v>5142</v>
      </c>
      <c r="Q149" t="str">
        <f>IF(AND(--$C149&gt;=--Campaign_Metadata_clean!$B$2,--$C149&lt;=--Campaign_Metadata_clean!$C$2),"SummerBeats",
IF(AND(--$C149&gt;=--Campaign_Metadata_clean!$B$3,--$C149&lt;=--Campaign_Metadata_clean!$C$3),"Wrapped2024",
IF(AND(--$C149&gt;=--Campaign_Metadata_clean!$B$4,--$C149&lt;=--Campaign_Metadata_clean!$C$4),"ChillVibes",
IF(AND(--$C149&gt;=--Campaign_Metadata_clean!$B$5,--$C149&lt;=--Campaign_Metadata_clean!$C$5),"IndieWave","No Campaign"))))</f>
        <v>ChillVibes</v>
      </c>
      <c r="R149" t="str">
        <f t="shared" si="18"/>
        <v>During</v>
      </c>
      <c r="S149" t="str">
        <f t="shared" si="19"/>
        <v>During</v>
      </c>
      <c r="X149" s="47">
        <f>IFERROR(
_xlfn.XLOOKUP(Q149,
Campaign_Metadata_clean!A:A,
Campaign_Metadata_clean!B:B),
"")</f>
        <v>45667</v>
      </c>
      <c r="Y149" s="47">
        <f>IFERROR(
_xlfn.XLOOKUP(Q149,
Campaign_Metadata_clean!A:A,
Campaign_Metadata_clean!C:C),
"")</f>
        <v>45698</v>
      </c>
      <c r="Z149">
        <f t="shared" si="21"/>
        <v>0.10086311618757582</v>
      </c>
      <c r="AA149">
        <f t="shared" si="22"/>
        <v>0.10541160412718438</v>
      </c>
      <c r="AB149">
        <f t="shared" ca="1" si="23"/>
        <v>0</v>
      </c>
    </row>
    <row r="150" spans="1:28">
      <c r="A150" s="1" t="s">
        <v>189</v>
      </c>
      <c r="B150" s="1" t="s">
        <v>24</v>
      </c>
      <c r="C150" s="46">
        <v>45760</v>
      </c>
      <c r="D150" s="1" t="s">
        <v>15</v>
      </c>
      <c r="E150" s="1" t="s">
        <v>374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/>
      <c r="N150" s="13">
        <f t="shared" si="20"/>
        <v>8.1341895638137346E-2</v>
      </c>
      <c r="O150">
        <f t="shared" si="16"/>
        <v>173</v>
      </c>
      <c r="P150">
        <f t="shared" si="17"/>
        <v>4636</v>
      </c>
      <c r="Q150" t="str">
        <f>IF(AND(--$C150&gt;=--Campaign_Metadata_clean!$B$2,--$C150&lt;=--Campaign_Metadata_clean!$C$2),"SummerBeats",
IF(AND(--$C150&gt;=--Campaign_Metadata_clean!$B$3,--$C150&lt;=--Campaign_Metadata_clean!$C$3),"Wrapped2024",
IF(AND(--$C150&gt;=--Campaign_Metadata_clean!$B$4,--$C150&lt;=--Campaign_Metadata_clean!$C$4),"ChillVibes",
IF(AND(--$C150&gt;=--Campaign_Metadata_clean!$B$5,--$C150&lt;=--Campaign_Metadata_clean!$C$5),"IndieWave","No Campaign"))))</f>
        <v>No Campaign</v>
      </c>
      <c r="R150" t="str">
        <f t="shared" si="18"/>
        <v>Other</v>
      </c>
      <c r="S150" t="str">
        <f t="shared" si="19"/>
        <v/>
      </c>
      <c r="X150" s="47" t="str">
        <f>IFERROR(
_xlfn.XLOOKUP(Q150,
Campaign_Metadata_clean!A:A,
Campaign_Metadata_clean!B:B),
"")</f>
        <v/>
      </c>
      <c r="Y150" s="47" t="str">
        <f>IFERROR(
_xlfn.XLOOKUP(Q150,
Campaign_Metadata_clean!A:A,
Campaign_Metadata_clean!C:C),
"")</f>
        <v/>
      </c>
      <c r="Z150">
        <f t="shared" si="21"/>
        <v>0</v>
      </c>
      <c r="AA150">
        <f t="shared" si="22"/>
        <v>0</v>
      </c>
      <c r="AB150">
        <f t="shared" si="23"/>
        <v>0</v>
      </c>
    </row>
    <row r="151" spans="1:28">
      <c r="A151" s="1" t="s">
        <v>190</v>
      </c>
      <c r="B151" s="1" t="s">
        <v>24</v>
      </c>
      <c r="C151" s="46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377</v>
      </c>
      <c r="M151" s="1" t="s">
        <v>42</v>
      </c>
      <c r="N151" s="13">
        <f t="shared" si="20"/>
        <v>9.4928992718046723E-2</v>
      </c>
      <c r="O151">
        <f t="shared" si="16"/>
        <v>120</v>
      </c>
      <c r="P151">
        <f t="shared" si="17"/>
        <v>2881</v>
      </c>
      <c r="Q151" t="str">
        <f>IF(AND(--$C151&gt;=--Campaign_Metadata_clean!$B$2,--$C151&lt;=--Campaign_Metadata_clean!$C$2),"SummerBeats",
IF(AND(--$C151&gt;=--Campaign_Metadata_clean!$B$3,--$C151&lt;=--Campaign_Metadata_clean!$C$3),"Wrapped2024",
IF(AND(--$C151&gt;=--Campaign_Metadata_clean!$B$4,--$C151&lt;=--Campaign_Metadata_clean!$C$4),"ChillVibes",
IF(AND(--$C151&gt;=--Campaign_Metadata_clean!$B$5,--$C151&lt;=--Campaign_Metadata_clean!$C$5),"IndieWave","No Campaign"))))</f>
        <v>No Campaign</v>
      </c>
      <c r="R151" t="str">
        <f t="shared" si="18"/>
        <v>Before</v>
      </c>
      <c r="S151" t="str">
        <f t="shared" si="19"/>
        <v/>
      </c>
      <c r="X151" s="47" t="str">
        <f>IFERROR(
_xlfn.XLOOKUP(Q151,
Campaign_Metadata_clean!A:A,
Campaign_Metadata_clean!B:B),
"")</f>
        <v/>
      </c>
      <c r="Y151" s="47" t="str">
        <f>IFERROR(
_xlfn.XLOOKUP(Q151,
Campaign_Metadata_clean!A:A,
Campaign_Metadata_clean!C:C),
"")</f>
        <v/>
      </c>
      <c r="Z151">
        <f t="shared" si="21"/>
        <v>0</v>
      </c>
      <c r="AA151">
        <f t="shared" si="22"/>
        <v>0</v>
      </c>
      <c r="AB151">
        <f t="shared" si="23"/>
        <v>0</v>
      </c>
    </row>
    <row r="152" spans="1:28">
      <c r="A152" s="1" t="s">
        <v>191</v>
      </c>
      <c r="B152" s="1" t="s">
        <v>14</v>
      </c>
      <c r="C152" s="46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/>
      <c r="N152" s="13">
        <f t="shared" si="20"/>
        <v>6.9360859297630834E-2</v>
      </c>
      <c r="O152">
        <f t="shared" si="16"/>
        <v>204</v>
      </c>
      <c r="P152">
        <f t="shared" si="17"/>
        <v>3642</v>
      </c>
      <c r="Q152" t="str">
        <f>IF(AND(--$C152&gt;=--Campaign_Metadata_clean!$B$2,--$C152&lt;=--Campaign_Metadata_clean!$C$2),"SummerBeats",
IF(AND(--$C152&gt;=--Campaign_Metadata_clean!$B$3,--$C152&lt;=--Campaign_Metadata_clean!$C$3),"Wrapped2024",
IF(AND(--$C152&gt;=--Campaign_Metadata_clean!$B$4,--$C152&lt;=--Campaign_Metadata_clean!$C$4),"ChillVibes",
IF(AND(--$C152&gt;=--Campaign_Metadata_clean!$B$5,--$C152&lt;=--Campaign_Metadata_clean!$C$5),"IndieWave","No Campaign"))))</f>
        <v>No Campaign</v>
      </c>
      <c r="R152" t="str">
        <f t="shared" si="18"/>
        <v>Before</v>
      </c>
      <c r="S152" t="str">
        <f t="shared" si="19"/>
        <v/>
      </c>
      <c r="X152" s="47" t="str">
        <f>IFERROR(
_xlfn.XLOOKUP(Q152,
Campaign_Metadata_clean!A:A,
Campaign_Metadata_clean!B:B),
"")</f>
        <v/>
      </c>
      <c r="Y152" s="47" t="str">
        <f>IFERROR(
_xlfn.XLOOKUP(Q152,
Campaign_Metadata_clean!A:A,
Campaign_Metadata_clean!C:C),
"")</f>
        <v/>
      </c>
      <c r="Z152">
        <f t="shared" si="21"/>
        <v>0</v>
      </c>
      <c r="AA152">
        <f t="shared" si="22"/>
        <v>0</v>
      </c>
      <c r="AB152">
        <f t="shared" si="23"/>
        <v>0</v>
      </c>
    </row>
    <row r="153" spans="1:28">
      <c r="A153" s="1" t="s">
        <v>192</v>
      </c>
      <c r="B153" s="1" t="s">
        <v>14</v>
      </c>
      <c r="C153" s="46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/>
      <c r="N153" s="13">
        <f t="shared" si="20"/>
        <v>9.2425876010781671E-2</v>
      </c>
      <c r="O153">
        <f t="shared" si="16"/>
        <v>133</v>
      </c>
      <c r="P153">
        <f t="shared" si="17"/>
        <v>3429</v>
      </c>
      <c r="Q153" t="str">
        <f>IF(AND(--$C153&gt;=--Campaign_Metadata_clean!$B$2,--$C153&lt;=--Campaign_Metadata_clean!$C$2),"SummerBeats",
IF(AND(--$C153&gt;=--Campaign_Metadata_clean!$B$3,--$C153&lt;=--Campaign_Metadata_clean!$C$3),"Wrapped2024",
IF(AND(--$C153&gt;=--Campaign_Metadata_clean!$B$4,--$C153&lt;=--Campaign_Metadata_clean!$C$4),"ChillVibes",
IF(AND(--$C153&gt;=--Campaign_Metadata_clean!$B$5,--$C153&lt;=--Campaign_Metadata_clean!$C$5),"IndieWave","No Campaign"))))</f>
        <v>No Campaign</v>
      </c>
      <c r="R153" t="str">
        <f t="shared" si="18"/>
        <v>Before</v>
      </c>
      <c r="S153" t="str">
        <f t="shared" si="19"/>
        <v/>
      </c>
      <c r="X153" s="47" t="str">
        <f>IFERROR(
_xlfn.XLOOKUP(Q153,
Campaign_Metadata_clean!A:A,
Campaign_Metadata_clean!B:B),
"")</f>
        <v/>
      </c>
      <c r="Y153" s="47" t="str">
        <f>IFERROR(
_xlfn.XLOOKUP(Q153,
Campaign_Metadata_clean!A:A,
Campaign_Metadata_clean!C:C),
"")</f>
        <v/>
      </c>
      <c r="Z153">
        <f t="shared" si="21"/>
        <v>0</v>
      </c>
      <c r="AA153">
        <f t="shared" si="22"/>
        <v>0</v>
      </c>
      <c r="AB153">
        <f t="shared" si="23"/>
        <v>0</v>
      </c>
    </row>
    <row r="154" spans="1:28">
      <c r="A154" s="1" t="s">
        <v>193</v>
      </c>
      <c r="B154" s="1" t="s">
        <v>24</v>
      </c>
      <c r="C154" s="46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21</v>
      </c>
      <c r="M154" s="1" t="s">
        <v>377</v>
      </c>
      <c r="N154" s="13">
        <f t="shared" si="20"/>
        <v>8.2469701307376658E-2</v>
      </c>
      <c r="O154">
        <f t="shared" si="16"/>
        <v>168</v>
      </c>
      <c r="P154">
        <f t="shared" si="17"/>
        <v>4321</v>
      </c>
      <c r="Q154" t="str">
        <f>IF(AND(--$C154&gt;=--Campaign_Metadata_clean!$B$2,--$C154&lt;=--Campaign_Metadata_clean!$C$2),"SummerBeats",
IF(AND(--$C154&gt;=--Campaign_Metadata_clean!$B$3,--$C154&lt;=--Campaign_Metadata_clean!$C$3),"Wrapped2024",
IF(AND(--$C154&gt;=--Campaign_Metadata_clean!$B$4,--$C154&lt;=--Campaign_Metadata_clean!$C$4),"ChillVibes",
IF(AND(--$C154&gt;=--Campaign_Metadata_clean!$B$5,--$C154&lt;=--Campaign_Metadata_clean!$C$5),"IndieWave","No Campaign"))))</f>
        <v>No Campaign</v>
      </c>
      <c r="R154" t="str">
        <f t="shared" si="18"/>
        <v>Other</v>
      </c>
      <c r="S154" t="str">
        <f t="shared" si="19"/>
        <v/>
      </c>
      <c r="X154" s="47" t="str">
        <f>IFERROR(
_xlfn.XLOOKUP(Q154,
Campaign_Metadata_clean!A:A,
Campaign_Metadata_clean!B:B),
"")</f>
        <v/>
      </c>
      <c r="Y154" s="47" t="str">
        <f>IFERROR(
_xlfn.XLOOKUP(Q154,
Campaign_Metadata_clean!A:A,
Campaign_Metadata_clean!C:C),
"")</f>
        <v/>
      </c>
      <c r="Z154">
        <f t="shared" si="21"/>
        <v>0</v>
      </c>
      <c r="AA154">
        <f t="shared" si="22"/>
        <v>0</v>
      </c>
      <c r="AB154">
        <f t="shared" si="23"/>
        <v>0</v>
      </c>
    </row>
    <row r="155" spans="1:28">
      <c r="A155" s="1" t="s">
        <v>194</v>
      </c>
      <c r="B155" s="1" t="s">
        <v>14</v>
      </c>
      <c r="C155" s="46">
        <v>45615</v>
      </c>
      <c r="D155" s="1" t="s">
        <v>15</v>
      </c>
      <c r="E155" s="1" t="s">
        <v>373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/>
      <c r="N155" s="13">
        <f t="shared" si="20"/>
        <v>5.9585542168674697E-2</v>
      </c>
      <c r="O155">
        <f t="shared" si="16"/>
        <v>225</v>
      </c>
      <c r="P155">
        <f t="shared" si="17"/>
        <v>3091</v>
      </c>
      <c r="Q155" t="str">
        <f>IF(AND(--$C155&gt;=--Campaign_Metadata_clean!$B$2,--$C155&lt;=--Campaign_Metadata_clean!$C$2),"SummerBeats",
IF(AND(--$C155&gt;=--Campaign_Metadata_clean!$B$3,--$C155&lt;=--Campaign_Metadata_clean!$C$3),"Wrapped2024",
IF(AND(--$C155&gt;=--Campaign_Metadata_clean!$B$4,--$C155&lt;=--Campaign_Metadata_clean!$C$4),"ChillVibes",
IF(AND(--$C155&gt;=--Campaign_Metadata_clean!$B$5,--$C155&lt;=--Campaign_Metadata_clean!$C$5),"IndieWave","No Campaign"))))</f>
        <v>No Campaign</v>
      </c>
      <c r="R155" t="str">
        <f t="shared" si="18"/>
        <v>Before</v>
      </c>
      <c r="S155" t="str">
        <f t="shared" si="19"/>
        <v/>
      </c>
      <c r="X155" s="47" t="str">
        <f>IFERROR(
_xlfn.XLOOKUP(Q155,
Campaign_Metadata_clean!A:A,
Campaign_Metadata_clean!B:B),
"")</f>
        <v/>
      </c>
      <c r="Y155" s="47" t="str">
        <f>IFERROR(
_xlfn.XLOOKUP(Q155,
Campaign_Metadata_clean!A:A,
Campaign_Metadata_clean!C:C),
"")</f>
        <v/>
      </c>
      <c r="Z155">
        <f t="shared" si="21"/>
        <v>0</v>
      </c>
      <c r="AA155">
        <f t="shared" si="22"/>
        <v>0</v>
      </c>
      <c r="AB155">
        <f t="shared" si="23"/>
        <v>0</v>
      </c>
    </row>
    <row r="156" spans="1:28">
      <c r="A156" s="1" t="s">
        <v>195</v>
      </c>
      <c r="B156" s="1" t="s">
        <v>14</v>
      </c>
      <c r="C156" s="46">
        <v>45407</v>
      </c>
      <c r="D156" s="1" t="s">
        <v>15</v>
      </c>
      <c r="E156" s="1" t="s">
        <v>375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45</v>
      </c>
      <c r="M156" s="1" t="s">
        <v>42</v>
      </c>
      <c r="N156" s="13">
        <f t="shared" si="20"/>
        <v>0.10400389436534015</v>
      </c>
      <c r="O156">
        <f t="shared" si="16"/>
        <v>100</v>
      </c>
      <c r="P156">
        <f t="shared" si="17"/>
        <v>4273</v>
      </c>
      <c r="Q156" t="str">
        <f>IF(AND(--$C156&gt;=--Campaign_Metadata_clean!$B$2,--$C156&lt;=--Campaign_Metadata_clean!$C$2),"SummerBeats",
IF(AND(--$C156&gt;=--Campaign_Metadata_clean!$B$3,--$C156&lt;=--Campaign_Metadata_clean!$C$3),"Wrapped2024",
IF(AND(--$C156&gt;=--Campaign_Metadata_clean!$B$4,--$C156&lt;=--Campaign_Metadata_clean!$C$4),"ChillVibes",
IF(AND(--$C156&gt;=--Campaign_Metadata_clean!$B$5,--$C156&lt;=--Campaign_Metadata_clean!$C$5),"IndieWave","No Campaign"))))</f>
        <v>No Campaign</v>
      </c>
      <c r="R156" t="str">
        <f t="shared" si="18"/>
        <v>Before</v>
      </c>
      <c r="S156" t="str">
        <f t="shared" si="19"/>
        <v/>
      </c>
      <c r="X156" s="47" t="str">
        <f>IFERROR(
_xlfn.XLOOKUP(Q156,
Campaign_Metadata_clean!A:A,
Campaign_Metadata_clean!B:B),
"")</f>
        <v/>
      </c>
      <c r="Y156" s="47" t="str">
        <f>IFERROR(
_xlfn.XLOOKUP(Q156,
Campaign_Metadata_clean!A:A,
Campaign_Metadata_clean!C:C),
"")</f>
        <v/>
      </c>
      <c r="Z156">
        <f t="shared" si="21"/>
        <v>0</v>
      </c>
      <c r="AA156">
        <f t="shared" si="22"/>
        <v>0</v>
      </c>
      <c r="AB156">
        <f t="shared" si="23"/>
        <v>0</v>
      </c>
    </row>
    <row r="157" spans="1:28">
      <c r="A157" s="1" t="s">
        <v>196</v>
      </c>
      <c r="B157" s="1" t="s">
        <v>31</v>
      </c>
      <c r="C157" s="46">
        <v>45538</v>
      </c>
      <c r="D157" s="1" t="s">
        <v>57</v>
      </c>
      <c r="E157" s="1" t="s">
        <v>373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21</v>
      </c>
      <c r="M157" s="1" t="s">
        <v>45</v>
      </c>
      <c r="N157" s="13">
        <f t="shared" si="20"/>
        <v>3.8832755240536872E-2</v>
      </c>
      <c r="O157">
        <f t="shared" si="16"/>
        <v>281</v>
      </c>
      <c r="P157">
        <f t="shared" si="17"/>
        <v>2060</v>
      </c>
      <c r="Q157" t="str">
        <f>IF(AND(--$C157&gt;=--Campaign_Metadata_clean!$B$2,--$C157&lt;=--Campaign_Metadata_clean!$C$2),"SummerBeats",
IF(AND(--$C157&gt;=--Campaign_Metadata_clean!$B$3,--$C157&lt;=--Campaign_Metadata_clean!$C$3),"Wrapped2024",
IF(AND(--$C157&gt;=--Campaign_Metadata_clean!$B$4,--$C157&lt;=--Campaign_Metadata_clean!$C$4),"ChillVibes",
IF(AND(--$C157&gt;=--Campaign_Metadata_clean!$B$5,--$C157&lt;=--Campaign_Metadata_clean!$C$5),"IndieWave","No Campaign"))))</f>
        <v>No Campaign</v>
      </c>
      <c r="R157" t="str">
        <f t="shared" si="18"/>
        <v>Before</v>
      </c>
      <c r="S157" t="str">
        <f t="shared" si="19"/>
        <v/>
      </c>
      <c r="X157" s="47" t="str">
        <f>IFERROR(
_xlfn.XLOOKUP(Q157,
Campaign_Metadata_clean!A:A,
Campaign_Metadata_clean!B:B),
"")</f>
        <v/>
      </c>
      <c r="Y157" s="47" t="str">
        <f>IFERROR(
_xlfn.XLOOKUP(Q157,
Campaign_Metadata_clean!A:A,
Campaign_Metadata_clean!C:C),
"")</f>
        <v/>
      </c>
      <c r="Z157">
        <f t="shared" si="21"/>
        <v>0</v>
      </c>
      <c r="AA157">
        <f t="shared" si="22"/>
        <v>0</v>
      </c>
      <c r="AB157">
        <f t="shared" si="23"/>
        <v>0</v>
      </c>
    </row>
    <row r="158" spans="1:28">
      <c r="A158" s="1" t="s">
        <v>197</v>
      </c>
      <c r="B158" s="1" t="s">
        <v>31</v>
      </c>
      <c r="C158" s="46">
        <v>45718</v>
      </c>
      <c r="D158" s="1" t="s">
        <v>15</v>
      </c>
      <c r="E158" s="1" t="s">
        <v>374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21</v>
      </c>
      <c r="M158" s="1" t="s">
        <v>378</v>
      </c>
      <c r="N158" s="13">
        <f t="shared" si="20"/>
        <v>0.19390491670052823</v>
      </c>
      <c r="O158">
        <f t="shared" si="16"/>
        <v>7</v>
      </c>
      <c r="P158">
        <f t="shared" si="17"/>
        <v>4772</v>
      </c>
      <c r="Q158" t="str">
        <f>IF(AND(--$C158&gt;=--Campaign_Metadata_clean!$B$2,--$C158&lt;=--Campaign_Metadata_clean!$C$2),"SummerBeats",
IF(AND(--$C158&gt;=--Campaign_Metadata_clean!$B$3,--$C158&lt;=--Campaign_Metadata_clean!$C$3),"Wrapped2024",
IF(AND(--$C158&gt;=--Campaign_Metadata_clean!$B$4,--$C158&lt;=--Campaign_Metadata_clean!$C$4),"ChillVibes",
IF(AND(--$C158&gt;=--Campaign_Metadata_clean!$B$5,--$C158&lt;=--Campaign_Metadata_clean!$C$5),"IndieWave","No Campaign"))))</f>
        <v>IndieWave</v>
      </c>
      <c r="R158" t="str">
        <f t="shared" si="18"/>
        <v>Other</v>
      </c>
      <c r="S158" t="str">
        <f t="shared" si="19"/>
        <v>During</v>
      </c>
      <c r="X158" s="47">
        <f>IFERROR(
_xlfn.XLOOKUP(Q158,
Campaign_Metadata_clean!A:A,
Campaign_Metadata_clean!B:B),
"")</f>
        <v>45717</v>
      </c>
      <c r="Y158" s="47">
        <f>IFERROR(
_xlfn.XLOOKUP(Q158,
Campaign_Metadata_clean!A:A,
Campaign_Metadata_clean!C:C),
"")</f>
        <v>45747</v>
      </c>
      <c r="Z158">
        <f t="shared" si="21"/>
        <v>0.11058335030833821</v>
      </c>
      <c r="AA158">
        <f t="shared" si="22"/>
        <v>0.10264545756473814</v>
      </c>
      <c r="AB158">
        <f t="shared" ca="1" si="23"/>
        <v>0</v>
      </c>
    </row>
    <row r="159" spans="1:28">
      <c r="A159" s="1" t="s">
        <v>198</v>
      </c>
      <c r="B159" s="1" t="s">
        <v>24</v>
      </c>
      <c r="C159" s="46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21</v>
      </c>
      <c r="M159" s="1" t="s">
        <v>377</v>
      </c>
      <c r="N159" s="13">
        <f t="shared" si="20"/>
        <v>0.16116683482699271</v>
      </c>
      <c r="O159">
        <f t="shared" si="16"/>
        <v>27</v>
      </c>
      <c r="P159">
        <f t="shared" si="17"/>
        <v>5431</v>
      </c>
      <c r="Q159" t="str">
        <f>IF(AND(--$C159&gt;=--Campaign_Metadata_clean!$B$2,--$C159&lt;=--Campaign_Metadata_clean!$C$2),"SummerBeats",
IF(AND(--$C159&gt;=--Campaign_Metadata_clean!$B$3,--$C159&lt;=--Campaign_Metadata_clean!$C$3),"Wrapped2024",
IF(AND(--$C159&gt;=--Campaign_Metadata_clean!$B$4,--$C159&lt;=--Campaign_Metadata_clean!$C$4),"ChillVibes",
IF(AND(--$C159&gt;=--Campaign_Metadata_clean!$B$5,--$C159&lt;=--Campaign_Metadata_clean!$C$5),"IndieWave","No Campaign"))))</f>
        <v>IndieWave</v>
      </c>
      <c r="R159" t="str">
        <f t="shared" si="18"/>
        <v>Other</v>
      </c>
      <c r="S159" t="str">
        <f t="shared" si="19"/>
        <v>During</v>
      </c>
      <c r="X159" s="47">
        <f>IFERROR(
_xlfn.XLOOKUP(Q159,
Campaign_Metadata_clean!A:A,
Campaign_Metadata_clean!B:B),
"")</f>
        <v>45717</v>
      </c>
      <c r="Y159" s="47">
        <f>IFERROR(
_xlfn.XLOOKUP(Q159,
Campaign_Metadata_clean!A:A,
Campaign_Metadata_clean!C:C),
"")</f>
        <v>45747</v>
      </c>
      <c r="Z159">
        <f t="shared" si="21"/>
        <v>0.11058335030833821</v>
      </c>
      <c r="AA159">
        <f t="shared" si="22"/>
        <v>0.10264545756473814</v>
      </c>
      <c r="AB159">
        <f t="shared" ca="1" si="23"/>
        <v>0</v>
      </c>
    </row>
    <row r="160" spans="1:28">
      <c r="A160" s="1" t="s">
        <v>199</v>
      </c>
      <c r="B160" s="1" t="s">
        <v>14</v>
      </c>
      <c r="C160" s="46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/>
      <c r="N160" s="13">
        <f t="shared" si="20"/>
        <v>8.3133241487896081E-2</v>
      </c>
      <c r="O160">
        <f t="shared" si="16"/>
        <v>164</v>
      </c>
      <c r="P160">
        <f t="shared" si="17"/>
        <v>2112</v>
      </c>
      <c r="Q160" t="str">
        <f>IF(AND(--$C160&gt;=--Campaign_Metadata_clean!$B$2,--$C160&lt;=--Campaign_Metadata_clean!$C$2),"SummerBeats",
IF(AND(--$C160&gt;=--Campaign_Metadata_clean!$B$3,--$C160&lt;=--Campaign_Metadata_clean!$C$3),"Wrapped2024",
IF(AND(--$C160&gt;=--Campaign_Metadata_clean!$B$4,--$C160&lt;=--Campaign_Metadata_clean!$C$4),"ChillVibes",
IF(AND(--$C160&gt;=--Campaign_Metadata_clean!$B$5,--$C160&lt;=--Campaign_Metadata_clean!$C$5),"IndieWave","No Campaign"))))</f>
        <v>No Campaign</v>
      </c>
      <c r="R160" t="str">
        <f t="shared" si="18"/>
        <v>Before</v>
      </c>
      <c r="S160" t="str">
        <f t="shared" si="19"/>
        <v/>
      </c>
      <c r="X160" s="47" t="str">
        <f>IFERROR(
_xlfn.XLOOKUP(Q160,
Campaign_Metadata_clean!A:A,
Campaign_Metadata_clean!B:B),
"")</f>
        <v/>
      </c>
      <c r="Y160" s="47" t="str">
        <f>IFERROR(
_xlfn.XLOOKUP(Q160,
Campaign_Metadata_clean!A:A,
Campaign_Metadata_clean!C:C),
"")</f>
        <v/>
      </c>
      <c r="Z160">
        <f t="shared" si="21"/>
        <v>0</v>
      </c>
      <c r="AA160">
        <f t="shared" si="22"/>
        <v>0</v>
      </c>
      <c r="AB160">
        <f t="shared" si="23"/>
        <v>0</v>
      </c>
    </row>
    <row r="161" spans="1:28">
      <c r="A161" s="1" t="s">
        <v>200</v>
      </c>
      <c r="B161" s="1" t="s">
        <v>31</v>
      </c>
      <c r="C161" s="46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21</v>
      </c>
      <c r="M161" s="1" t="s">
        <v>45</v>
      </c>
      <c r="N161" s="13">
        <f t="shared" si="20"/>
        <v>4.9951325040562468E-2</v>
      </c>
      <c r="O161">
        <f t="shared" si="16"/>
        <v>255</v>
      </c>
      <c r="P161">
        <f t="shared" si="17"/>
        <v>2309</v>
      </c>
      <c r="Q161" t="str">
        <f>IF(AND(--$C161&gt;=--Campaign_Metadata_clean!$B$2,--$C161&lt;=--Campaign_Metadata_clean!$C$2),"SummerBeats",
IF(AND(--$C161&gt;=--Campaign_Metadata_clean!$B$3,--$C161&lt;=--Campaign_Metadata_clean!$C$3),"Wrapped2024",
IF(AND(--$C161&gt;=--Campaign_Metadata_clean!$B$4,--$C161&lt;=--Campaign_Metadata_clean!$C$4),"ChillVibes",
IF(AND(--$C161&gt;=--Campaign_Metadata_clean!$B$5,--$C161&lt;=--Campaign_Metadata_clean!$C$5),"IndieWave","No Campaign"))))</f>
        <v>No Campaign</v>
      </c>
      <c r="R161" t="str">
        <f t="shared" si="18"/>
        <v>Before</v>
      </c>
      <c r="S161" t="str">
        <f t="shared" si="19"/>
        <v/>
      </c>
      <c r="X161" s="47" t="str">
        <f>IFERROR(
_xlfn.XLOOKUP(Q161,
Campaign_Metadata_clean!A:A,
Campaign_Metadata_clean!B:B),
"")</f>
        <v/>
      </c>
      <c r="Y161" s="47" t="str">
        <f>IFERROR(
_xlfn.XLOOKUP(Q161,
Campaign_Metadata_clean!A:A,
Campaign_Metadata_clean!C:C),
"")</f>
        <v/>
      </c>
      <c r="Z161">
        <f t="shared" si="21"/>
        <v>0</v>
      </c>
      <c r="AA161">
        <f t="shared" si="22"/>
        <v>0</v>
      </c>
      <c r="AB161">
        <f t="shared" si="23"/>
        <v>0</v>
      </c>
    </row>
    <row r="162" spans="1:28">
      <c r="A162" s="1" t="s">
        <v>201</v>
      </c>
      <c r="B162" s="1" t="s">
        <v>14</v>
      </c>
      <c r="C162" s="46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/>
      <c r="N162" s="13">
        <f t="shared" si="20"/>
        <v>0.1552751489660007</v>
      </c>
      <c r="O162">
        <f t="shared" si="16"/>
        <v>32</v>
      </c>
      <c r="P162">
        <f t="shared" si="17"/>
        <v>3544</v>
      </c>
      <c r="Q162" t="str">
        <f>IF(AND(--$C162&gt;=--Campaign_Metadata_clean!$B$2,--$C162&lt;=--Campaign_Metadata_clean!$C$2),"SummerBeats",
IF(AND(--$C162&gt;=--Campaign_Metadata_clean!$B$3,--$C162&lt;=--Campaign_Metadata_clean!$C$3),"Wrapped2024",
IF(AND(--$C162&gt;=--Campaign_Metadata_clean!$B$4,--$C162&lt;=--Campaign_Metadata_clean!$C$4),"ChillVibes",
IF(AND(--$C162&gt;=--Campaign_Metadata_clean!$B$5,--$C162&lt;=--Campaign_Metadata_clean!$C$5),"IndieWave","No Campaign"))))</f>
        <v>No Campaign</v>
      </c>
      <c r="R162" t="str">
        <f t="shared" si="18"/>
        <v>Other</v>
      </c>
      <c r="S162" t="str">
        <f t="shared" si="19"/>
        <v/>
      </c>
      <c r="X162" s="47" t="str">
        <f>IFERROR(
_xlfn.XLOOKUP(Q162,
Campaign_Metadata_clean!A:A,
Campaign_Metadata_clean!B:B),
"")</f>
        <v/>
      </c>
      <c r="Y162" s="47" t="str">
        <f>IFERROR(
_xlfn.XLOOKUP(Q162,
Campaign_Metadata_clean!A:A,
Campaign_Metadata_clean!C:C),
"")</f>
        <v/>
      </c>
      <c r="Z162">
        <f t="shared" si="21"/>
        <v>0</v>
      </c>
      <c r="AA162">
        <f t="shared" si="22"/>
        <v>0</v>
      </c>
      <c r="AB162">
        <f t="shared" si="23"/>
        <v>0</v>
      </c>
    </row>
    <row r="163" spans="1:28">
      <c r="A163" s="1" t="s">
        <v>202</v>
      </c>
      <c r="B163" s="1" t="s">
        <v>14</v>
      </c>
      <c r="C163" s="46">
        <v>45610</v>
      </c>
      <c r="D163" s="1" t="s">
        <v>15</v>
      </c>
      <c r="E163" s="1" t="s">
        <v>375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45</v>
      </c>
      <c r="M163" s="1" t="s">
        <v>42</v>
      </c>
      <c r="N163" s="13">
        <f t="shared" si="20"/>
        <v>0.11258173796580792</v>
      </c>
      <c r="O163">
        <f t="shared" si="16"/>
        <v>76</v>
      </c>
      <c r="P163">
        <f t="shared" si="17"/>
        <v>2858</v>
      </c>
      <c r="Q163" t="str">
        <f>IF(AND(--$C163&gt;=--Campaign_Metadata_clean!$B$2,--$C163&lt;=--Campaign_Metadata_clean!$C$2),"SummerBeats",
IF(AND(--$C163&gt;=--Campaign_Metadata_clean!$B$3,--$C163&lt;=--Campaign_Metadata_clean!$C$3),"Wrapped2024",
IF(AND(--$C163&gt;=--Campaign_Metadata_clean!$B$4,--$C163&lt;=--Campaign_Metadata_clean!$C$4),"ChillVibes",
IF(AND(--$C163&gt;=--Campaign_Metadata_clean!$B$5,--$C163&lt;=--Campaign_Metadata_clean!$C$5),"IndieWave","No Campaign"))))</f>
        <v>No Campaign</v>
      </c>
      <c r="R163" t="str">
        <f t="shared" si="18"/>
        <v>Before</v>
      </c>
      <c r="S163" t="str">
        <f t="shared" si="19"/>
        <v/>
      </c>
      <c r="X163" s="47" t="str">
        <f>IFERROR(
_xlfn.XLOOKUP(Q163,
Campaign_Metadata_clean!A:A,
Campaign_Metadata_clean!B:B),
"")</f>
        <v/>
      </c>
      <c r="Y163" s="47" t="str">
        <f>IFERROR(
_xlfn.XLOOKUP(Q163,
Campaign_Metadata_clean!A:A,
Campaign_Metadata_clean!C:C),
"")</f>
        <v/>
      </c>
      <c r="Z163">
        <f t="shared" si="21"/>
        <v>0</v>
      </c>
      <c r="AA163">
        <f t="shared" si="22"/>
        <v>0</v>
      </c>
      <c r="AB163">
        <f t="shared" si="23"/>
        <v>0</v>
      </c>
    </row>
    <row r="164" spans="1:28">
      <c r="A164" s="1" t="s">
        <v>203</v>
      </c>
      <c r="B164" s="1" t="s">
        <v>31</v>
      </c>
      <c r="C164" s="46">
        <v>45513</v>
      </c>
      <c r="D164" s="1" t="s">
        <v>57</v>
      </c>
      <c r="E164" s="1" t="s">
        <v>374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21</v>
      </c>
      <c r="M164" s="1" t="s">
        <v>45</v>
      </c>
      <c r="N164" s="13">
        <f t="shared" si="20"/>
        <v>0.11046681895390383</v>
      </c>
      <c r="O164">
        <f t="shared" si="16"/>
        <v>81</v>
      </c>
      <c r="P164">
        <f t="shared" si="17"/>
        <v>3772</v>
      </c>
      <c r="Q164" t="str">
        <f>IF(AND(--$C164&gt;=--Campaign_Metadata_clean!$B$2,--$C164&lt;=--Campaign_Metadata_clean!$C$2),"SummerBeats",
IF(AND(--$C164&gt;=--Campaign_Metadata_clean!$B$3,--$C164&lt;=--Campaign_Metadata_clean!$C$3),"Wrapped2024",
IF(AND(--$C164&gt;=--Campaign_Metadata_clean!$B$4,--$C164&lt;=--Campaign_Metadata_clean!$C$4),"ChillVibes",
IF(AND(--$C164&gt;=--Campaign_Metadata_clean!$B$5,--$C164&lt;=--Campaign_Metadata_clean!$C$5),"IndieWave","No Campaign"))))</f>
        <v>No Campaign</v>
      </c>
      <c r="R164" t="str">
        <f t="shared" si="18"/>
        <v>Before</v>
      </c>
      <c r="S164" t="str">
        <f t="shared" si="19"/>
        <v/>
      </c>
      <c r="X164" s="47" t="str">
        <f>IFERROR(
_xlfn.XLOOKUP(Q164,
Campaign_Metadata_clean!A:A,
Campaign_Metadata_clean!B:B),
"")</f>
        <v/>
      </c>
      <c r="Y164" s="47" t="str">
        <f>IFERROR(
_xlfn.XLOOKUP(Q164,
Campaign_Metadata_clean!A:A,
Campaign_Metadata_clean!C:C),
"")</f>
        <v/>
      </c>
      <c r="Z164">
        <f t="shared" si="21"/>
        <v>0</v>
      </c>
      <c r="AA164">
        <f t="shared" si="22"/>
        <v>0</v>
      </c>
      <c r="AB164">
        <f t="shared" si="23"/>
        <v>0</v>
      </c>
    </row>
    <row r="165" spans="1:28">
      <c r="A165" s="1" t="s">
        <v>204</v>
      </c>
      <c r="B165" s="1" t="s">
        <v>14</v>
      </c>
      <c r="C165" s="46">
        <v>45835</v>
      </c>
      <c r="D165" s="1" t="s">
        <v>25</v>
      </c>
      <c r="E165" s="1" t="s">
        <v>373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/>
      <c r="N165" s="13">
        <f t="shared" si="20"/>
        <v>3.5523669554455448E-2</v>
      </c>
      <c r="O165">
        <f t="shared" si="16"/>
        <v>286</v>
      </c>
      <c r="P165">
        <f t="shared" si="17"/>
        <v>1837</v>
      </c>
      <c r="Q165" t="str">
        <f>IF(AND(--$C165&gt;=--Campaign_Metadata_clean!$B$2,--$C165&lt;=--Campaign_Metadata_clean!$C$2),"SummerBeats",
IF(AND(--$C165&gt;=--Campaign_Metadata_clean!$B$3,--$C165&lt;=--Campaign_Metadata_clean!$C$3),"Wrapped2024",
IF(AND(--$C165&gt;=--Campaign_Metadata_clean!$B$4,--$C165&lt;=--Campaign_Metadata_clean!$C$4),"ChillVibes",
IF(AND(--$C165&gt;=--Campaign_Metadata_clean!$B$5,--$C165&lt;=--Campaign_Metadata_clean!$C$5),"IndieWave","No Campaign"))))</f>
        <v>No Campaign</v>
      </c>
      <c r="R165" t="str">
        <f t="shared" si="18"/>
        <v>Other</v>
      </c>
      <c r="S165" t="str">
        <f t="shared" si="19"/>
        <v/>
      </c>
      <c r="X165" s="47" t="str">
        <f>IFERROR(
_xlfn.XLOOKUP(Q165,
Campaign_Metadata_clean!A:A,
Campaign_Metadata_clean!B:B),
"")</f>
        <v/>
      </c>
      <c r="Y165" s="47" t="str">
        <f>IFERROR(
_xlfn.XLOOKUP(Q165,
Campaign_Metadata_clean!A:A,
Campaign_Metadata_clean!C:C),
"")</f>
        <v/>
      </c>
      <c r="Z165">
        <f t="shared" si="21"/>
        <v>0</v>
      </c>
      <c r="AA165">
        <f t="shared" si="22"/>
        <v>0</v>
      </c>
      <c r="AB165">
        <f t="shared" si="23"/>
        <v>0</v>
      </c>
    </row>
    <row r="166" spans="1:28">
      <c r="A166" s="1" t="s">
        <v>205</v>
      </c>
      <c r="B166" s="1" t="s">
        <v>14</v>
      </c>
      <c r="C166" s="46">
        <v>45420</v>
      </c>
      <c r="D166" s="1" t="s">
        <v>25</v>
      </c>
      <c r="E166" s="1" t="s">
        <v>375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/>
      <c r="N166" s="13">
        <f t="shared" si="20"/>
        <v>0.10652531529884847</v>
      </c>
      <c r="O166">
        <f t="shared" si="16"/>
        <v>94</v>
      </c>
      <c r="P166">
        <f t="shared" si="17"/>
        <v>2914</v>
      </c>
      <c r="Q166" t="str">
        <f>IF(AND(--$C166&gt;=--Campaign_Metadata_clean!$B$2,--$C166&lt;=--Campaign_Metadata_clean!$C$2),"SummerBeats",
IF(AND(--$C166&gt;=--Campaign_Metadata_clean!$B$3,--$C166&lt;=--Campaign_Metadata_clean!$C$3),"Wrapped2024",
IF(AND(--$C166&gt;=--Campaign_Metadata_clean!$B$4,--$C166&lt;=--Campaign_Metadata_clean!$C$4),"ChillVibes",
IF(AND(--$C166&gt;=--Campaign_Metadata_clean!$B$5,--$C166&lt;=--Campaign_Metadata_clean!$C$5),"IndieWave","No Campaign"))))</f>
        <v>No Campaign</v>
      </c>
      <c r="R166" t="str">
        <f t="shared" si="18"/>
        <v>Before</v>
      </c>
      <c r="S166" t="str">
        <f t="shared" si="19"/>
        <v/>
      </c>
      <c r="X166" s="47" t="str">
        <f>IFERROR(
_xlfn.XLOOKUP(Q166,
Campaign_Metadata_clean!A:A,
Campaign_Metadata_clean!B:B),
"")</f>
        <v/>
      </c>
      <c r="Y166" s="47" t="str">
        <f>IFERROR(
_xlfn.XLOOKUP(Q166,
Campaign_Metadata_clean!A:A,
Campaign_Metadata_clean!C:C),
"")</f>
        <v/>
      </c>
      <c r="Z166">
        <f t="shared" si="21"/>
        <v>0</v>
      </c>
      <c r="AA166">
        <f t="shared" si="22"/>
        <v>0</v>
      </c>
      <c r="AB166">
        <f t="shared" si="23"/>
        <v>0</v>
      </c>
    </row>
    <row r="167" spans="1:28">
      <c r="A167" s="1" t="s">
        <v>206</v>
      </c>
      <c r="B167" s="1" t="s">
        <v>14</v>
      </c>
      <c r="C167" s="46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/>
      <c r="N167" s="13">
        <f t="shared" si="20"/>
        <v>9.2244407295403744E-2</v>
      </c>
      <c r="O167">
        <f t="shared" si="16"/>
        <v>134</v>
      </c>
      <c r="P167">
        <f t="shared" si="17"/>
        <v>4911</v>
      </c>
      <c r="Q167" t="str">
        <f>IF(AND(--$C167&gt;=--Campaign_Metadata_clean!$B$2,--$C167&lt;=--Campaign_Metadata_clean!$C$2),"SummerBeats",
IF(AND(--$C167&gt;=--Campaign_Metadata_clean!$B$3,--$C167&lt;=--Campaign_Metadata_clean!$C$3),"Wrapped2024",
IF(AND(--$C167&gt;=--Campaign_Metadata_clean!$B$4,--$C167&lt;=--Campaign_Metadata_clean!$C$4),"ChillVibes",
IF(AND(--$C167&gt;=--Campaign_Metadata_clean!$B$5,--$C167&lt;=--Campaign_Metadata_clean!$C$5),"IndieWave","No Campaign"))))</f>
        <v>No Campaign</v>
      </c>
      <c r="R167" t="str">
        <f t="shared" si="18"/>
        <v>Before</v>
      </c>
      <c r="S167" t="str">
        <f t="shared" si="19"/>
        <v/>
      </c>
      <c r="X167" s="47" t="str">
        <f>IFERROR(
_xlfn.XLOOKUP(Q167,
Campaign_Metadata_clean!A:A,
Campaign_Metadata_clean!B:B),
"")</f>
        <v/>
      </c>
      <c r="Y167" s="47" t="str">
        <f>IFERROR(
_xlfn.XLOOKUP(Q167,
Campaign_Metadata_clean!A:A,
Campaign_Metadata_clean!C:C),
"")</f>
        <v/>
      </c>
      <c r="Z167">
        <f t="shared" si="21"/>
        <v>0</v>
      </c>
      <c r="AA167">
        <f t="shared" si="22"/>
        <v>0</v>
      </c>
      <c r="AB167">
        <f t="shared" si="23"/>
        <v>0</v>
      </c>
    </row>
    <row r="168" spans="1:28">
      <c r="A168" s="1" t="s">
        <v>207</v>
      </c>
      <c r="B168" s="1" t="s">
        <v>31</v>
      </c>
      <c r="C168" s="46">
        <v>45684</v>
      </c>
      <c r="D168" s="1" t="s">
        <v>15</v>
      </c>
      <c r="E168" s="1" t="s">
        <v>376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21</v>
      </c>
      <c r="M168" s="1" t="s">
        <v>378</v>
      </c>
      <c r="N168" s="13">
        <f t="shared" si="20"/>
        <v>0.1612578785034196</v>
      </c>
      <c r="O168">
        <f t="shared" si="16"/>
        <v>26</v>
      </c>
      <c r="P168">
        <f t="shared" si="17"/>
        <v>4810</v>
      </c>
      <c r="Q168" t="str">
        <f>IF(AND(--$C168&gt;=--Campaign_Metadata_clean!$B$2,--$C168&lt;=--Campaign_Metadata_clean!$C$2),"SummerBeats",
IF(AND(--$C168&gt;=--Campaign_Metadata_clean!$B$3,--$C168&lt;=--Campaign_Metadata_clean!$C$3),"Wrapped2024",
IF(AND(--$C168&gt;=--Campaign_Metadata_clean!$B$4,--$C168&lt;=--Campaign_Metadata_clean!$C$4),"ChillVibes",
IF(AND(--$C168&gt;=--Campaign_Metadata_clean!$B$5,--$C168&lt;=--Campaign_Metadata_clean!$C$5),"IndieWave","No Campaign"))))</f>
        <v>ChillVibes</v>
      </c>
      <c r="R168" t="str">
        <f t="shared" si="18"/>
        <v>During</v>
      </c>
      <c r="S168" t="str">
        <f t="shared" si="19"/>
        <v>During</v>
      </c>
      <c r="X168" s="47">
        <f>IFERROR(
_xlfn.XLOOKUP(Q168,
Campaign_Metadata_clean!A:A,
Campaign_Metadata_clean!B:B),
"")</f>
        <v>45667</v>
      </c>
      <c r="Y168" s="47">
        <f>IFERROR(
_xlfn.XLOOKUP(Q168,
Campaign_Metadata_clean!A:A,
Campaign_Metadata_clean!C:C),
"")</f>
        <v>45698</v>
      </c>
      <c r="Z168">
        <f t="shared" si="21"/>
        <v>0.10086311618757582</v>
      </c>
      <c r="AA168">
        <f t="shared" si="22"/>
        <v>0.10541160412718438</v>
      </c>
      <c r="AB168">
        <f t="shared" ca="1" si="23"/>
        <v>0</v>
      </c>
    </row>
    <row r="169" spans="1:28">
      <c r="A169" s="1" t="s">
        <v>208</v>
      </c>
      <c r="B169" s="1" t="s">
        <v>14</v>
      </c>
      <c r="C169" s="46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45</v>
      </c>
      <c r="M169" s="1" t="s">
        <v>42</v>
      </c>
      <c r="N169" s="13">
        <f t="shared" si="20"/>
        <v>0.10143081434961637</v>
      </c>
      <c r="O169">
        <f t="shared" si="16"/>
        <v>106</v>
      </c>
      <c r="P169">
        <f t="shared" si="17"/>
        <v>3424</v>
      </c>
      <c r="Q169" t="str">
        <f>IF(AND(--$C169&gt;=--Campaign_Metadata_clean!$B$2,--$C169&lt;=--Campaign_Metadata_clean!$C$2),"SummerBeats",
IF(AND(--$C169&gt;=--Campaign_Metadata_clean!$B$3,--$C169&lt;=--Campaign_Metadata_clean!$C$3),"Wrapped2024",
IF(AND(--$C169&gt;=--Campaign_Metadata_clean!$B$4,--$C169&lt;=--Campaign_Metadata_clean!$C$4),"ChillVibes",
IF(AND(--$C169&gt;=--Campaign_Metadata_clean!$B$5,--$C169&lt;=--Campaign_Metadata_clean!$C$5),"IndieWave","No Campaign"))))</f>
        <v>No Campaign</v>
      </c>
      <c r="R169" t="str">
        <f t="shared" si="18"/>
        <v>Before</v>
      </c>
      <c r="S169" t="str">
        <f t="shared" si="19"/>
        <v/>
      </c>
      <c r="X169" s="47" t="str">
        <f>IFERROR(
_xlfn.XLOOKUP(Q169,
Campaign_Metadata_clean!A:A,
Campaign_Metadata_clean!B:B),
"")</f>
        <v/>
      </c>
      <c r="Y169" s="47" t="str">
        <f>IFERROR(
_xlfn.XLOOKUP(Q169,
Campaign_Metadata_clean!A:A,
Campaign_Metadata_clean!C:C),
"")</f>
        <v/>
      </c>
      <c r="Z169">
        <f t="shared" si="21"/>
        <v>0</v>
      </c>
      <c r="AA169">
        <f t="shared" si="22"/>
        <v>0</v>
      </c>
      <c r="AB169">
        <f t="shared" si="23"/>
        <v>0</v>
      </c>
    </row>
    <row r="170" spans="1:28">
      <c r="A170" s="1" t="s">
        <v>209</v>
      </c>
      <c r="B170" s="1" t="s">
        <v>31</v>
      </c>
      <c r="C170" s="46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21</v>
      </c>
      <c r="M170" s="1" t="s">
        <v>378</v>
      </c>
      <c r="N170" s="13">
        <f t="shared" si="20"/>
        <v>8.4528099363643333E-2</v>
      </c>
      <c r="O170">
        <f t="shared" si="16"/>
        <v>157</v>
      </c>
      <c r="P170">
        <f t="shared" si="17"/>
        <v>4410</v>
      </c>
      <c r="Q170" t="str">
        <f>IF(AND(--$C170&gt;=--Campaign_Metadata_clean!$B$2,--$C170&lt;=--Campaign_Metadata_clean!$C$2),"SummerBeats",
IF(AND(--$C170&gt;=--Campaign_Metadata_clean!$B$3,--$C170&lt;=--Campaign_Metadata_clean!$C$3),"Wrapped2024",
IF(AND(--$C170&gt;=--Campaign_Metadata_clean!$B$4,--$C170&lt;=--Campaign_Metadata_clean!$C$4),"ChillVibes",
IF(AND(--$C170&gt;=--Campaign_Metadata_clean!$B$5,--$C170&lt;=--Campaign_Metadata_clean!$C$5),"IndieWave","No Campaign"))))</f>
        <v>No Campaign</v>
      </c>
      <c r="R170" t="str">
        <f t="shared" si="18"/>
        <v>Before</v>
      </c>
      <c r="S170" t="str">
        <f t="shared" si="19"/>
        <v/>
      </c>
      <c r="X170" s="47" t="str">
        <f>IFERROR(
_xlfn.XLOOKUP(Q170,
Campaign_Metadata_clean!A:A,
Campaign_Metadata_clean!B:B),
"")</f>
        <v/>
      </c>
      <c r="Y170" s="47" t="str">
        <f>IFERROR(
_xlfn.XLOOKUP(Q170,
Campaign_Metadata_clean!A:A,
Campaign_Metadata_clean!C:C),
"")</f>
        <v/>
      </c>
      <c r="Z170">
        <f t="shared" si="21"/>
        <v>0</v>
      </c>
      <c r="AA170">
        <f t="shared" si="22"/>
        <v>0</v>
      </c>
      <c r="AB170">
        <f t="shared" si="23"/>
        <v>0</v>
      </c>
    </row>
    <row r="171" spans="1:28">
      <c r="A171" s="1" t="s">
        <v>210</v>
      </c>
      <c r="B171" s="1" t="s">
        <v>24</v>
      </c>
      <c r="C171" s="46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/>
      <c r="N171" s="13">
        <f t="shared" si="20"/>
        <v>0.15513030574705536</v>
      </c>
      <c r="O171">
        <f t="shared" si="16"/>
        <v>33</v>
      </c>
      <c r="P171">
        <f t="shared" si="17"/>
        <v>5018</v>
      </c>
      <c r="Q171" t="str">
        <f>IF(AND(--$C171&gt;=--Campaign_Metadata_clean!$B$2,--$C171&lt;=--Campaign_Metadata_clean!$C$2),"SummerBeats",
IF(AND(--$C171&gt;=--Campaign_Metadata_clean!$B$3,--$C171&lt;=--Campaign_Metadata_clean!$C$3),"Wrapped2024",
IF(AND(--$C171&gt;=--Campaign_Metadata_clean!$B$4,--$C171&lt;=--Campaign_Metadata_clean!$C$4),"ChillVibes",
IF(AND(--$C171&gt;=--Campaign_Metadata_clean!$B$5,--$C171&lt;=--Campaign_Metadata_clean!$C$5),"IndieWave","No Campaign"))))</f>
        <v>No Campaign</v>
      </c>
      <c r="R171" t="str">
        <f t="shared" si="18"/>
        <v>Before</v>
      </c>
      <c r="S171" t="str">
        <f t="shared" si="19"/>
        <v/>
      </c>
      <c r="X171" s="47" t="str">
        <f>IFERROR(
_xlfn.XLOOKUP(Q171,
Campaign_Metadata_clean!A:A,
Campaign_Metadata_clean!B:B),
"")</f>
        <v/>
      </c>
      <c r="Y171" s="47" t="str">
        <f>IFERROR(
_xlfn.XLOOKUP(Q171,
Campaign_Metadata_clean!A:A,
Campaign_Metadata_clean!C:C),
"")</f>
        <v/>
      </c>
      <c r="Z171">
        <f t="shared" si="21"/>
        <v>0</v>
      </c>
      <c r="AA171">
        <f t="shared" si="22"/>
        <v>0</v>
      </c>
      <c r="AB171">
        <f t="shared" si="23"/>
        <v>0</v>
      </c>
    </row>
    <row r="172" spans="1:28">
      <c r="A172" s="1" t="s">
        <v>211</v>
      </c>
      <c r="B172" s="1" t="s">
        <v>14</v>
      </c>
      <c r="C172" s="46">
        <v>45536</v>
      </c>
      <c r="D172" s="1" t="s">
        <v>25</v>
      </c>
      <c r="E172" s="1" t="s">
        <v>376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/>
      <c r="N172" s="13">
        <f t="shared" si="20"/>
        <v>9.8031707130274953E-2</v>
      </c>
      <c r="O172">
        <f t="shared" si="16"/>
        <v>114</v>
      </c>
      <c r="P172">
        <f t="shared" si="17"/>
        <v>2560</v>
      </c>
      <c r="Q172" t="str">
        <f>IF(AND(--$C172&gt;=--Campaign_Metadata_clean!$B$2,--$C172&lt;=--Campaign_Metadata_clean!$C$2),"SummerBeats",
IF(AND(--$C172&gt;=--Campaign_Metadata_clean!$B$3,--$C172&lt;=--Campaign_Metadata_clean!$C$3),"Wrapped2024",
IF(AND(--$C172&gt;=--Campaign_Metadata_clean!$B$4,--$C172&lt;=--Campaign_Metadata_clean!$C$4),"ChillVibes",
IF(AND(--$C172&gt;=--Campaign_Metadata_clean!$B$5,--$C172&lt;=--Campaign_Metadata_clean!$C$5),"IndieWave","No Campaign"))))</f>
        <v>No Campaign</v>
      </c>
      <c r="R172" t="str">
        <f t="shared" si="18"/>
        <v>Before</v>
      </c>
      <c r="S172" t="str">
        <f t="shared" si="19"/>
        <v/>
      </c>
      <c r="X172" s="47" t="str">
        <f>IFERROR(
_xlfn.XLOOKUP(Q172,
Campaign_Metadata_clean!A:A,
Campaign_Metadata_clean!B:B),
"")</f>
        <v/>
      </c>
      <c r="Y172" s="47" t="str">
        <f>IFERROR(
_xlfn.XLOOKUP(Q172,
Campaign_Metadata_clean!A:A,
Campaign_Metadata_clean!C:C),
"")</f>
        <v/>
      </c>
      <c r="Z172">
        <f t="shared" si="21"/>
        <v>0</v>
      </c>
      <c r="AA172">
        <f t="shared" si="22"/>
        <v>0</v>
      </c>
      <c r="AB172">
        <f t="shared" si="23"/>
        <v>0</v>
      </c>
    </row>
    <row r="173" spans="1:28">
      <c r="A173" s="1" t="s">
        <v>212</v>
      </c>
      <c r="B173" s="1" t="s">
        <v>31</v>
      </c>
      <c r="C173" s="46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21</v>
      </c>
      <c r="M173" s="1" t="s">
        <v>378</v>
      </c>
      <c r="N173" s="13">
        <f t="shared" si="20"/>
        <v>0.16447098339242397</v>
      </c>
      <c r="O173">
        <f t="shared" si="16"/>
        <v>23</v>
      </c>
      <c r="P173">
        <f t="shared" si="17"/>
        <v>4407</v>
      </c>
      <c r="Q173" t="str">
        <f>IF(AND(--$C173&gt;=--Campaign_Metadata_clean!$B$2,--$C173&lt;=--Campaign_Metadata_clean!$C$2),"SummerBeats",
IF(AND(--$C173&gt;=--Campaign_Metadata_clean!$B$3,--$C173&lt;=--Campaign_Metadata_clean!$C$3),"Wrapped2024",
IF(AND(--$C173&gt;=--Campaign_Metadata_clean!$B$4,--$C173&lt;=--Campaign_Metadata_clean!$C$4),"ChillVibes",
IF(AND(--$C173&gt;=--Campaign_Metadata_clean!$B$5,--$C173&lt;=--Campaign_Metadata_clean!$C$5),"IndieWave","No Campaign"))))</f>
        <v>No Campaign</v>
      </c>
      <c r="R173" t="str">
        <f t="shared" si="18"/>
        <v>Before</v>
      </c>
      <c r="S173" t="str">
        <f t="shared" si="19"/>
        <v/>
      </c>
      <c r="X173" s="47" t="str">
        <f>IFERROR(
_xlfn.XLOOKUP(Q173,
Campaign_Metadata_clean!A:A,
Campaign_Metadata_clean!B:B),
"")</f>
        <v/>
      </c>
      <c r="Y173" s="47" t="str">
        <f>IFERROR(
_xlfn.XLOOKUP(Q173,
Campaign_Metadata_clean!A:A,
Campaign_Metadata_clean!C:C),
"")</f>
        <v/>
      </c>
      <c r="Z173">
        <f t="shared" si="21"/>
        <v>0</v>
      </c>
      <c r="AA173">
        <f t="shared" si="22"/>
        <v>0</v>
      </c>
      <c r="AB173">
        <f t="shared" si="23"/>
        <v>0</v>
      </c>
    </row>
    <row r="174" spans="1:28">
      <c r="A174" s="1" t="s">
        <v>213</v>
      </c>
      <c r="B174" s="1" t="s">
        <v>14</v>
      </c>
      <c r="C174" s="46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/>
      <c r="N174" s="13">
        <f t="shared" si="20"/>
        <v>0.10077178019329269</v>
      </c>
      <c r="O174">
        <f t="shared" si="16"/>
        <v>108</v>
      </c>
      <c r="P174">
        <f t="shared" si="17"/>
        <v>4348</v>
      </c>
      <c r="Q174" t="str">
        <f>IF(AND(--$C174&gt;=--Campaign_Metadata_clean!$B$2,--$C174&lt;=--Campaign_Metadata_clean!$C$2),"SummerBeats",
IF(AND(--$C174&gt;=--Campaign_Metadata_clean!$B$3,--$C174&lt;=--Campaign_Metadata_clean!$C$3),"Wrapped2024",
IF(AND(--$C174&gt;=--Campaign_Metadata_clean!$B$4,--$C174&lt;=--Campaign_Metadata_clean!$C$4),"ChillVibes",
IF(AND(--$C174&gt;=--Campaign_Metadata_clean!$B$5,--$C174&lt;=--Campaign_Metadata_clean!$C$5),"IndieWave","No Campaign"))))</f>
        <v>No Campaign</v>
      </c>
      <c r="R174" t="str">
        <f t="shared" si="18"/>
        <v>Before</v>
      </c>
      <c r="S174" t="str">
        <f t="shared" si="19"/>
        <v/>
      </c>
      <c r="X174" s="47" t="str">
        <f>IFERROR(
_xlfn.XLOOKUP(Q174,
Campaign_Metadata_clean!A:A,
Campaign_Metadata_clean!B:B),
"")</f>
        <v/>
      </c>
      <c r="Y174" s="47" t="str">
        <f>IFERROR(
_xlfn.XLOOKUP(Q174,
Campaign_Metadata_clean!A:A,
Campaign_Metadata_clean!C:C),
"")</f>
        <v/>
      </c>
      <c r="Z174">
        <f t="shared" si="21"/>
        <v>0</v>
      </c>
      <c r="AA174">
        <f t="shared" si="22"/>
        <v>0</v>
      </c>
      <c r="AB174">
        <f t="shared" si="23"/>
        <v>0</v>
      </c>
    </row>
    <row r="175" spans="1:28">
      <c r="A175" s="1" t="s">
        <v>214</v>
      </c>
      <c r="B175" s="1" t="s">
        <v>31</v>
      </c>
      <c r="C175" s="46">
        <v>45749</v>
      </c>
      <c r="D175" s="1" t="s">
        <v>15</v>
      </c>
      <c r="E175" s="1" t="s">
        <v>376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21</v>
      </c>
      <c r="M175" s="1" t="s">
        <v>378</v>
      </c>
      <c r="N175" s="13">
        <f t="shared" si="20"/>
        <v>0.10256458679558846</v>
      </c>
      <c r="O175">
        <f t="shared" si="16"/>
        <v>103</v>
      </c>
      <c r="P175">
        <f t="shared" si="17"/>
        <v>5431</v>
      </c>
      <c r="Q175" t="str">
        <f>IF(AND(--$C175&gt;=--Campaign_Metadata_clean!$B$2,--$C175&lt;=--Campaign_Metadata_clean!$C$2),"SummerBeats",
IF(AND(--$C175&gt;=--Campaign_Metadata_clean!$B$3,--$C175&lt;=--Campaign_Metadata_clean!$C$3),"Wrapped2024",
IF(AND(--$C175&gt;=--Campaign_Metadata_clean!$B$4,--$C175&lt;=--Campaign_Metadata_clean!$C$4),"ChillVibes",
IF(AND(--$C175&gt;=--Campaign_Metadata_clean!$B$5,--$C175&lt;=--Campaign_Metadata_clean!$C$5),"IndieWave","No Campaign"))))</f>
        <v>No Campaign</v>
      </c>
      <c r="R175" t="str">
        <f t="shared" si="18"/>
        <v>Other</v>
      </c>
      <c r="S175" t="str">
        <f t="shared" si="19"/>
        <v/>
      </c>
      <c r="X175" s="47" t="str">
        <f>IFERROR(
_xlfn.XLOOKUP(Q175,
Campaign_Metadata_clean!A:A,
Campaign_Metadata_clean!B:B),
"")</f>
        <v/>
      </c>
      <c r="Y175" s="47" t="str">
        <f>IFERROR(
_xlfn.XLOOKUP(Q175,
Campaign_Metadata_clean!A:A,
Campaign_Metadata_clean!C:C),
"")</f>
        <v/>
      </c>
      <c r="Z175">
        <f t="shared" si="21"/>
        <v>0</v>
      </c>
      <c r="AA175">
        <f t="shared" si="22"/>
        <v>0</v>
      </c>
      <c r="AB175">
        <f t="shared" si="23"/>
        <v>0</v>
      </c>
    </row>
    <row r="176" spans="1:28">
      <c r="A176" s="1" t="s">
        <v>215</v>
      </c>
      <c r="B176" s="1" t="s">
        <v>24</v>
      </c>
      <c r="C176" s="46">
        <v>45748</v>
      </c>
      <c r="D176" s="1" t="s">
        <v>25</v>
      </c>
      <c r="E176" s="1" t="s">
        <v>375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21</v>
      </c>
      <c r="M176" s="1" t="s">
        <v>377</v>
      </c>
      <c r="N176" s="13">
        <f t="shared" si="20"/>
        <v>5.6980732739746021E-2</v>
      </c>
      <c r="O176">
        <f t="shared" si="16"/>
        <v>233</v>
      </c>
      <c r="P176">
        <f t="shared" si="17"/>
        <v>3123</v>
      </c>
      <c r="Q176" t="str">
        <f>IF(AND(--$C176&gt;=--Campaign_Metadata_clean!$B$2,--$C176&lt;=--Campaign_Metadata_clean!$C$2),"SummerBeats",
IF(AND(--$C176&gt;=--Campaign_Metadata_clean!$B$3,--$C176&lt;=--Campaign_Metadata_clean!$C$3),"Wrapped2024",
IF(AND(--$C176&gt;=--Campaign_Metadata_clean!$B$4,--$C176&lt;=--Campaign_Metadata_clean!$C$4),"ChillVibes",
IF(AND(--$C176&gt;=--Campaign_Metadata_clean!$B$5,--$C176&lt;=--Campaign_Metadata_clean!$C$5),"IndieWave","No Campaign"))))</f>
        <v>No Campaign</v>
      </c>
      <c r="R176" t="str">
        <f t="shared" si="18"/>
        <v>Other</v>
      </c>
      <c r="S176" t="str">
        <f t="shared" si="19"/>
        <v/>
      </c>
      <c r="X176" s="47" t="str">
        <f>IFERROR(
_xlfn.XLOOKUP(Q176,
Campaign_Metadata_clean!A:A,
Campaign_Metadata_clean!B:B),
"")</f>
        <v/>
      </c>
      <c r="Y176" s="47" t="str">
        <f>IFERROR(
_xlfn.XLOOKUP(Q176,
Campaign_Metadata_clean!A:A,
Campaign_Metadata_clean!C:C),
"")</f>
        <v/>
      </c>
      <c r="Z176">
        <f t="shared" si="21"/>
        <v>0</v>
      </c>
      <c r="AA176">
        <f t="shared" si="22"/>
        <v>0</v>
      </c>
      <c r="AB176">
        <f t="shared" si="23"/>
        <v>0</v>
      </c>
    </row>
    <row r="177" spans="1:28">
      <c r="A177" s="1" t="s">
        <v>216</v>
      </c>
      <c r="B177" s="1" t="s">
        <v>14</v>
      </c>
      <c r="C177" s="46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45</v>
      </c>
      <c r="M177" s="1" t="s">
        <v>42</v>
      </c>
      <c r="N177" s="13">
        <f t="shared" si="20"/>
        <v>8.4227733207149463E-2</v>
      </c>
      <c r="O177">
        <f t="shared" si="16"/>
        <v>159</v>
      </c>
      <c r="P177">
        <f t="shared" si="17"/>
        <v>3916</v>
      </c>
      <c r="Q177" t="str">
        <f>IF(AND(--$C177&gt;=--Campaign_Metadata_clean!$B$2,--$C177&lt;=--Campaign_Metadata_clean!$C$2),"SummerBeats",
IF(AND(--$C177&gt;=--Campaign_Metadata_clean!$B$3,--$C177&lt;=--Campaign_Metadata_clean!$C$3),"Wrapped2024",
IF(AND(--$C177&gt;=--Campaign_Metadata_clean!$B$4,--$C177&lt;=--Campaign_Metadata_clean!$C$4),"ChillVibes",
IF(AND(--$C177&gt;=--Campaign_Metadata_clean!$B$5,--$C177&lt;=--Campaign_Metadata_clean!$C$5),"IndieWave","No Campaign"))))</f>
        <v>SummerBeats</v>
      </c>
      <c r="R177" t="str">
        <f t="shared" si="18"/>
        <v>Before</v>
      </c>
      <c r="S177" t="str">
        <f t="shared" si="19"/>
        <v>During</v>
      </c>
      <c r="X177" s="47">
        <f>IFERROR(
_xlfn.XLOOKUP(Q177,
Campaign_Metadata_clean!A:A,
Campaign_Metadata_clean!B:B),
"")</f>
        <v>45458</v>
      </c>
      <c r="Y177" s="47">
        <f>IFERROR(
_xlfn.XLOOKUP(Q177,
Campaign_Metadata_clean!A:A,
Campaign_Metadata_clean!C:C),
"")</f>
        <v>45488</v>
      </c>
      <c r="Z177">
        <f t="shared" si="21"/>
        <v>7.7477551774674469E-2</v>
      </c>
      <c r="AA177">
        <f t="shared" si="22"/>
        <v>9.67495057607137E-2</v>
      </c>
      <c r="AB177">
        <f t="shared" ca="1" si="23"/>
        <v>0</v>
      </c>
    </row>
    <row r="178" spans="1:28">
      <c r="A178" s="1" t="s">
        <v>217</v>
      </c>
      <c r="B178" s="1" t="s">
        <v>24</v>
      </c>
      <c r="C178" s="46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/>
      <c r="N178" s="13">
        <f t="shared" si="20"/>
        <v>0.1728980597474592</v>
      </c>
      <c r="O178">
        <f t="shared" si="16"/>
        <v>16</v>
      </c>
      <c r="P178">
        <f t="shared" si="17"/>
        <v>5614</v>
      </c>
      <c r="Q178" t="str">
        <f>IF(AND(--$C178&gt;=--Campaign_Metadata_clean!$B$2,--$C178&lt;=--Campaign_Metadata_clean!$C$2),"SummerBeats",
IF(AND(--$C178&gt;=--Campaign_Metadata_clean!$B$3,--$C178&lt;=--Campaign_Metadata_clean!$C$3),"Wrapped2024",
IF(AND(--$C178&gt;=--Campaign_Metadata_clean!$B$4,--$C178&lt;=--Campaign_Metadata_clean!$C$4),"ChillVibes",
IF(AND(--$C178&gt;=--Campaign_Metadata_clean!$B$5,--$C178&lt;=--Campaign_Metadata_clean!$C$5),"IndieWave","No Campaign"))))</f>
        <v>No Campaign</v>
      </c>
      <c r="R178" t="str">
        <f t="shared" si="18"/>
        <v>Before</v>
      </c>
      <c r="S178" t="str">
        <f t="shared" si="19"/>
        <v/>
      </c>
      <c r="X178" s="47" t="str">
        <f>IFERROR(
_xlfn.XLOOKUP(Q178,
Campaign_Metadata_clean!A:A,
Campaign_Metadata_clean!B:B),
"")</f>
        <v/>
      </c>
      <c r="Y178" s="47" t="str">
        <f>IFERROR(
_xlfn.XLOOKUP(Q178,
Campaign_Metadata_clean!A:A,
Campaign_Metadata_clean!C:C),
"")</f>
        <v/>
      </c>
      <c r="Z178">
        <f t="shared" si="21"/>
        <v>0</v>
      </c>
      <c r="AA178">
        <f t="shared" si="22"/>
        <v>0</v>
      </c>
      <c r="AB178">
        <f t="shared" si="23"/>
        <v>0</v>
      </c>
    </row>
    <row r="179" spans="1:28">
      <c r="A179" s="1" t="s">
        <v>218</v>
      </c>
      <c r="B179" s="1" t="s">
        <v>14</v>
      </c>
      <c r="C179" s="46">
        <v>45640</v>
      </c>
      <c r="D179" s="1" t="s">
        <v>25</v>
      </c>
      <c r="E179" s="1" t="s">
        <v>374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/>
      <c r="N179" s="13">
        <f t="shared" si="20"/>
        <v>7.3899528727564417E-2</v>
      </c>
      <c r="O179">
        <f t="shared" si="16"/>
        <v>192</v>
      </c>
      <c r="P179">
        <f t="shared" si="17"/>
        <v>4422</v>
      </c>
      <c r="Q179" t="str">
        <f>IF(AND(--$C179&gt;=--Campaign_Metadata_clean!$B$2,--$C179&lt;=--Campaign_Metadata_clean!$C$2),"SummerBeats",
IF(AND(--$C179&gt;=--Campaign_Metadata_clean!$B$3,--$C179&lt;=--Campaign_Metadata_clean!$C$3),"Wrapped2024",
IF(AND(--$C179&gt;=--Campaign_Metadata_clean!$B$4,--$C179&lt;=--Campaign_Metadata_clean!$C$4),"ChillVibes",
IF(AND(--$C179&gt;=--Campaign_Metadata_clean!$B$5,--$C179&lt;=--Campaign_Metadata_clean!$C$5),"IndieWave","No Campaign"))))</f>
        <v>Wrapped2024</v>
      </c>
      <c r="R179" t="str">
        <f t="shared" si="18"/>
        <v>Before</v>
      </c>
      <c r="S179" t="str">
        <f t="shared" si="19"/>
        <v>During</v>
      </c>
      <c r="X179" s="47">
        <f>IFERROR(
_xlfn.XLOOKUP(Q179,
Campaign_Metadata_clean!A:A,
Campaign_Metadata_clean!B:B),
"")</f>
        <v>45627</v>
      </c>
      <c r="Y179" s="47">
        <f>IFERROR(
_xlfn.XLOOKUP(Q179,
Campaign_Metadata_clean!A:A,
Campaign_Metadata_clean!C:C),
"")</f>
        <v>45657</v>
      </c>
      <c r="Z179">
        <f t="shared" si="21"/>
        <v>9.2680818872661358E-2</v>
      </c>
      <c r="AA179">
        <f t="shared" si="22"/>
        <v>9.9294724623054248E-2</v>
      </c>
      <c r="AB179">
        <f t="shared" ca="1" si="23"/>
        <v>0</v>
      </c>
    </row>
    <row r="180" spans="1:28">
      <c r="A180" s="1" t="s">
        <v>219</v>
      </c>
      <c r="B180" s="1" t="s">
        <v>24</v>
      </c>
      <c r="C180" s="46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/>
      <c r="N180" s="13">
        <f t="shared" si="20"/>
        <v>7.090200025160398E-2</v>
      </c>
      <c r="O180">
        <f t="shared" si="16"/>
        <v>199</v>
      </c>
      <c r="P180">
        <f t="shared" si="17"/>
        <v>2818</v>
      </c>
      <c r="Q180" t="str">
        <f>IF(AND(--$C180&gt;=--Campaign_Metadata_clean!$B$2,--$C180&lt;=--Campaign_Metadata_clean!$C$2),"SummerBeats",
IF(AND(--$C180&gt;=--Campaign_Metadata_clean!$B$3,--$C180&lt;=--Campaign_Metadata_clean!$C$3),"Wrapped2024",
IF(AND(--$C180&gt;=--Campaign_Metadata_clean!$B$4,--$C180&lt;=--Campaign_Metadata_clean!$C$4),"ChillVibes",
IF(AND(--$C180&gt;=--Campaign_Metadata_clean!$B$5,--$C180&lt;=--Campaign_Metadata_clean!$C$5),"IndieWave","No Campaign"))))</f>
        <v>No Campaign</v>
      </c>
      <c r="R180" t="str">
        <f t="shared" si="18"/>
        <v>Before</v>
      </c>
      <c r="S180" t="str">
        <f t="shared" si="19"/>
        <v/>
      </c>
      <c r="X180" s="47" t="str">
        <f>IFERROR(
_xlfn.XLOOKUP(Q180,
Campaign_Metadata_clean!A:A,
Campaign_Metadata_clean!B:B),
"")</f>
        <v/>
      </c>
      <c r="Y180" s="47" t="str">
        <f>IFERROR(
_xlfn.XLOOKUP(Q180,
Campaign_Metadata_clean!A:A,
Campaign_Metadata_clean!C:C),
"")</f>
        <v/>
      </c>
      <c r="Z180">
        <f t="shared" si="21"/>
        <v>0</v>
      </c>
      <c r="AA180">
        <f t="shared" si="22"/>
        <v>0</v>
      </c>
      <c r="AB180">
        <f t="shared" si="23"/>
        <v>0</v>
      </c>
    </row>
    <row r="181" spans="1:28">
      <c r="A181" s="1" t="s">
        <v>220</v>
      </c>
      <c r="B181" s="1" t="s">
        <v>24</v>
      </c>
      <c r="C181" s="46">
        <v>45777</v>
      </c>
      <c r="D181" s="1" t="s">
        <v>25</v>
      </c>
      <c r="E181" s="1" t="s">
        <v>376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377</v>
      </c>
      <c r="M181" s="1" t="s">
        <v>42</v>
      </c>
      <c r="N181" s="13">
        <f t="shared" si="20"/>
        <v>7.7731488624869283E-2</v>
      </c>
      <c r="O181">
        <f t="shared" si="16"/>
        <v>183</v>
      </c>
      <c r="P181">
        <f t="shared" si="17"/>
        <v>4534</v>
      </c>
      <c r="Q181" t="str">
        <f>IF(AND(--$C181&gt;=--Campaign_Metadata_clean!$B$2,--$C181&lt;=--Campaign_Metadata_clean!$C$2),"SummerBeats",
IF(AND(--$C181&gt;=--Campaign_Metadata_clean!$B$3,--$C181&lt;=--Campaign_Metadata_clean!$C$3),"Wrapped2024",
IF(AND(--$C181&gt;=--Campaign_Metadata_clean!$B$4,--$C181&lt;=--Campaign_Metadata_clean!$C$4),"ChillVibes",
IF(AND(--$C181&gt;=--Campaign_Metadata_clean!$B$5,--$C181&lt;=--Campaign_Metadata_clean!$C$5),"IndieWave","No Campaign"))))</f>
        <v>No Campaign</v>
      </c>
      <c r="R181" t="str">
        <f t="shared" si="18"/>
        <v>Other</v>
      </c>
      <c r="S181" t="str">
        <f t="shared" si="19"/>
        <v/>
      </c>
      <c r="X181" s="47" t="str">
        <f>IFERROR(
_xlfn.XLOOKUP(Q181,
Campaign_Metadata_clean!A:A,
Campaign_Metadata_clean!B:B),
"")</f>
        <v/>
      </c>
      <c r="Y181" s="47" t="str">
        <f>IFERROR(
_xlfn.XLOOKUP(Q181,
Campaign_Metadata_clean!A:A,
Campaign_Metadata_clean!C:C),
"")</f>
        <v/>
      </c>
      <c r="Z181">
        <f t="shared" si="21"/>
        <v>0</v>
      </c>
      <c r="AA181">
        <f t="shared" si="22"/>
        <v>0</v>
      </c>
      <c r="AB181">
        <f t="shared" si="23"/>
        <v>0</v>
      </c>
    </row>
    <row r="182" spans="1:28">
      <c r="A182" s="1" t="s">
        <v>221</v>
      </c>
      <c r="B182" s="1" t="s">
        <v>24</v>
      </c>
      <c r="C182" s="46">
        <v>45370</v>
      </c>
      <c r="D182" s="1" t="s">
        <v>15</v>
      </c>
      <c r="E182" s="1" t="s">
        <v>374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/>
      <c r="N182" s="13">
        <f t="shared" si="20"/>
        <v>4.2982250109049422E-2</v>
      </c>
      <c r="O182">
        <f t="shared" si="16"/>
        <v>272</v>
      </c>
      <c r="P182">
        <f t="shared" si="17"/>
        <v>2562</v>
      </c>
      <c r="Q182" t="str">
        <f>IF(AND(--$C182&gt;=--Campaign_Metadata_clean!$B$2,--$C182&lt;=--Campaign_Metadata_clean!$C$2),"SummerBeats",
IF(AND(--$C182&gt;=--Campaign_Metadata_clean!$B$3,--$C182&lt;=--Campaign_Metadata_clean!$C$3),"Wrapped2024",
IF(AND(--$C182&gt;=--Campaign_Metadata_clean!$B$4,--$C182&lt;=--Campaign_Metadata_clean!$C$4),"ChillVibes",
IF(AND(--$C182&gt;=--Campaign_Metadata_clean!$B$5,--$C182&lt;=--Campaign_Metadata_clean!$C$5),"IndieWave","No Campaign"))))</f>
        <v>No Campaign</v>
      </c>
      <c r="R182" t="str">
        <f t="shared" si="18"/>
        <v>Before</v>
      </c>
      <c r="S182" t="str">
        <f t="shared" si="19"/>
        <v/>
      </c>
      <c r="X182" s="47" t="str">
        <f>IFERROR(
_xlfn.XLOOKUP(Q182,
Campaign_Metadata_clean!A:A,
Campaign_Metadata_clean!B:B),
"")</f>
        <v/>
      </c>
      <c r="Y182" s="47" t="str">
        <f>IFERROR(
_xlfn.XLOOKUP(Q182,
Campaign_Metadata_clean!A:A,
Campaign_Metadata_clean!C:C),
"")</f>
        <v/>
      </c>
      <c r="Z182">
        <f t="shared" si="21"/>
        <v>0</v>
      </c>
      <c r="AA182">
        <f t="shared" si="22"/>
        <v>0</v>
      </c>
      <c r="AB182">
        <f t="shared" si="23"/>
        <v>0</v>
      </c>
    </row>
    <row r="183" spans="1:28">
      <c r="A183" s="1" t="s">
        <v>222</v>
      </c>
      <c r="B183" s="1" t="s">
        <v>14</v>
      </c>
      <c r="C183" s="46">
        <v>45370</v>
      </c>
      <c r="D183" s="1" t="s">
        <v>15</v>
      </c>
      <c r="E183" s="1" t="s">
        <v>374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45</v>
      </c>
      <c r="M183" s="1" t="s">
        <v>42</v>
      </c>
      <c r="N183" s="13">
        <f t="shared" si="20"/>
        <v>7.2213401079707848E-2</v>
      </c>
      <c r="O183">
        <f t="shared" si="16"/>
        <v>195</v>
      </c>
      <c r="P183">
        <f t="shared" si="17"/>
        <v>3411</v>
      </c>
      <c r="Q183" t="str">
        <f>IF(AND(--$C183&gt;=--Campaign_Metadata_clean!$B$2,--$C183&lt;=--Campaign_Metadata_clean!$C$2),"SummerBeats",
IF(AND(--$C183&gt;=--Campaign_Metadata_clean!$B$3,--$C183&lt;=--Campaign_Metadata_clean!$C$3),"Wrapped2024",
IF(AND(--$C183&gt;=--Campaign_Metadata_clean!$B$4,--$C183&lt;=--Campaign_Metadata_clean!$C$4),"ChillVibes",
IF(AND(--$C183&gt;=--Campaign_Metadata_clean!$B$5,--$C183&lt;=--Campaign_Metadata_clean!$C$5),"IndieWave","No Campaign"))))</f>
        <v>No Campaign</v>
      </c>
      <c r="R183" t="str">
        <f t="shared" si="18"/>
        <v>Before</v>
      </c>
      <c r="S183" t="str">
        <f t="shared" si="19"/>
        <v/>
      </c>
      <c r="X183" s="47" t="str">
        <f>IFERROR(
_xlfn.XLOOKUP(Q183,
Campaign_Metadata_clean!A:A,
Campaign_Metadata_clean!B:B),
"")</f>
        <v/>
      </c>
      <c r="Y183" s="47" t="str">
        <f>IFERROR(
_xlfn.XLOOKUP(Q183,
Campaign_Metadata_clean!A:A,
Campaign_Metadata_clean!C:C),
"")</f>
        <v/>
      </c>
      <c r="Z183">
        <f t="shared" si="21"/>
        <v>0</v>
      </c>
      <c r="AA183">
        <f t="shared" si="22"/>
        <v>0</v>
      </c>
      <c r="AB183">
        <f t="shared" si="23"/>
        <v>0</v>
      </c>
    </row>
    <row r="184" spans="1:28">
      <c r="A184" s="1" t="s">
        <v>223</v>
      </c>
      <c r="B184" s="1" t="s">
        <v>24</v>
      </c>
      <c r="C184" s="46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/>
      <c r="N184" s="13">
        <f t="shared" si="20"/>
        <v>0.16743869209809265</v>
      </c>
      <c r="O184">
        <f t="shared" si="16"/>
        <v>19</v>
      </c>
      <c r="P184">
        <f t="shared" si="17"/>
        <v>3687</v>
      </c>
      <c r="Q184" t="str">
        <f>IF(AND(--$C184&gt;=--Campaign_Metadata_clean!$B$2,--$C184&lt;=--Campaign_Metadata_clean!$C$2),"SummerBeats",
IF(AND(--$C184&gt;=--Campaign_Metadata_clean!$B$3,--$C184&lt;=--Campaign_Metadata_clean!$C$3),"Wrapped2024",
IF(AND(--$C184&gt;=--Campaign_Metadata_clean!$B$4,--$C184&lt;=--Campaign_Metadata_clean!$C$4),"ChillVibes",
IF(AND(--$C184&gt;=--Campaign_Metadata_clean!$B$5,--$C184&lt;=--Campaign_Metadata_clean!$C$5),"IndieWave","No Campaign"))))</f>
        <v>No Campaign</v>
      </c>
      <c r="R184" t="str">
        <f t="shared" si="18"/>
        <v>Before</v>
      </c>
      <c r="S184" t="str">
        <f t="shared" si="19"/>
        <v/>
      </c>
      <c r="X184" s="47" t="str">
        <f>IFERROR(
_xlfn.XLOOKUP(Q184,
Campaign_Metadata_clean!A:A,
Campaign_Metadata_clean!B:B),
"")</f>
        <v/>
      </c>
      <c r="Y184" s="47" t="str">
        <f>IFERROR(
_xlfn.XLOOKUP(Q184,
Campaign_Metadata_clean!A:A,
Campaign_Metadata_clean!C:C),
"")</f>
        <v/>
      </c>
      <c r="Z184">
        <f t="shared" si="21"/>
        <v>0</v>
      </c>
      <c r="AA184">
        <f t="shared" si="22"/>
        <v>0</v>
      </c>
      <c r="AB184">
        <f t="shared" si="23"/>
        <v>0</v>
      </c>
    </row>
    <row r="185" spans="1:28">
      <c r="A185" s="1" t="s">
        <v>224</v>
      </c>
      <c r="B185" s="1" t="s">
        <v>24</v>
      </c>
      <c r="C185" s="46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377</v>
      </c>
      <c r="M185" s="1" t="s">
        <v>42</v>
      </c>
      <c r="N185" s="13">
        <f t="shared" si="20"/>
        <v>6.2648374965860634E-2</v>
      </c>
      <c r="O185">
        <f t="shared" si="16"/>
        <v>217</v>
      </c>
      <c r="P185">
        <f t="shared" si="17"/>
        <v>2982</v>
      </c>
      <c r="Q185" t="str">
        <f>IF(AND(--$C185&gt;=--Campaign_Metadata_clean!$B$2,--$C185&lt;=--Campaign_Metadata_clean!$C$2),"SummerBeats",
IF(AND(--$C185&gt;=--Campaign_Metadata_clean!$B$3,--$C185&lt;=--Campaign_Metadata_clean!$C$3),"Wrapped2024",
IF(AND(--$C185&gt;=--Campaign_Metadata_clean!$B$4,--$C185&lt;=--Campaign_Metadata_clean!$C$4),"ChillVibes",
IF(AND(--$C185&gt;=--Campaign_Metadata_clean!$B$5,--$C185&lt;=--Campaign_Metadata_clean!$C$5),"IndieWave","No Campaign"))))</f>
        <v>SummerBeats</v>
      </c>
      <c r="R185" t="str">
        <f t="shared" si="18"/>
        <v>Before</v>
      </c>
      <c r="S185" t="str">
        <f t="shared" si="19"/>
        <v>During</v>
      </c>
      <c r="X185" s="47">
        <f>IFERROR(
_xlfn.XLOOKUP(Q185,
Campaign_Metadata_clean!A:A,
Campaign_Metadata_clean!B:B),
"")</f>
        <v>45458</v>
      </c>
      <c r="Y185" s="47">
        <f>IFERROR(
_xlfn.XLOOKUP(Q185,
Campaign_Metadata_clean!A:A,
Campaign_Metadata_clean!C:C),
"")</f>
        <v>45488</v>
      </c>
      <c r="Z185">
        <f t="shared" si="21"/>
        <v>7.7477551774674469E-2</v>
      </c>
      <c r="AA185">
        <f t="shared" si="22"/>
        <v>9.67495057607137E-2</v>
      </c>
      <c r="AB185">
        <f t="shared" ca="1" si="23"/>
        <v>0</v>
      </c>
    </row>
    <row r="186" spans="1:28">
      <c r="A186" s="1" t="s">
        <v>225</v>
      </c>
      <c r="B186" s="1" t="s">
        <v>31</v>
      </c>
      <c r="C186" s="46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21</v>
      </c>
      <c r="M186" s="1" t="s">
        <v>45</v>
      </c>
      <c r="N186" s="13">
        <f t="shared" si="20"/>
        <v>8.5966298051606105E-2</v>
      </c>
      <c r="O186">
        <f t="shared" si="16"/>
        <v>152</v>
      </c>
      <c r="P186">
        <f t="shared" si="17"/>
        <v>3265</v>
      </c>
      <c r="Q186" t="str">
        <f>IF(AND(--$C186&gt;=--Campaign_Metadata_clean!$B$2,--$C186&lt;=--Campaign_Metadata_clean!$C$2),"SummerBeats",
IF(AND(--$C186&gt;=--Campaign_Metadata_clean!$B$3,--$C186&lt;=--Campaign_Metadata_clean!$C$3),"Wrapped2024",
IF(AND(--$C186&gt;=--Campaign_Metadata_clean!$B$4,--$C186&lt;=--Campaign_Metadata_clean!$C$4),"ChillVibes",
IF(AND(--$C186&gt;=--Campaign_Metadata_clean!$B$5,--$C186&lt;=--Campaign_Metadata_clean!$C$5),"IndieWave","No Campaign"))))</f>
        <v>No Campaign</v>
      </c>
      <c r="R186" t="str">
        <f t="shared" si="18"/>
        <v>Other</v>
      </c>
      <c r="S186" t="str">
        <f t="shared" si="19"/>
        <v/>
      </c>
      <c r="X186" s="47" t="str">
        <f>IFERROR(
_xlfn.XLOOKUP(Q186,
Campaign_Metadata_clean!A:A,
Campaign_Metadata_clean!B:B),
"")</f>
        <v/>
      </c>
      <c r="Y186" s="47" t="str">
        <f>IFERROR(
_xlfn.XLOOKUP(Q186,
Campaign_Metadata_clean!A:A,
Campaign_Metadata_clean!C:C),
"")</f>
        <v/>
      </c>
      <c r="Z186">
        <f t="shared" si="21"/>
        <v>0</v>
      </c>
      <c r="AA186">
        <f t="shared" si="22"/>
        <v>0</v>
      </c>
      <c r="AB186">
        <f t="shared" si="23"/>
        <v>0</v>
      </c>
    </row>
    <row r="187" spans="1:28">
      <c r="A187" s="1" t="s">
        <v>226</v>
      </c>
      <c r="B187" s="1" t="s">
        <v>24</v>
      </c>
      <c r="C187" s="46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377</v>
      </c>
      <c r="M187" s="1" t="s">
        <v>42</v>
      </c>
      <c r="N187" s="13">
        <f t="shared" si="20"/>
        <v>0.22967524699836073</v>
      </c>
      <c r="O187">
        <f t="shared" si="16"/>
        <v>3</v>
      </c>
      <c r="P187">
        <f t="shared" si="17"/>
        <v>5184</v>
      </c>
      <c r="Q187" t="str">
        <f>IF(AND(--$C187&gt;=--Campaign_Metadata_clean!$B$2,--$C187&lt;=--Campaign_Metadata_clean!$C$2),"SummerBeats",
IF(AND(--$C187&gt;=--Campaign_Metadata_clean!$B$3,--$C187&lt;=--Campaign_Metadata_clean!$C$3),"Wrapped2024",
IF(AND(--$C187&gt;=--Campaign_Metadata_clean!$B$4,--$C187&lt;=--Campaign_Metadata_clean!$C$4),"ChillVibes",
IF(AND(--$C187&gt;=--Campaign_Metadata_clean!$B$5,--$C187&lt;=--Campaign_Metadata_clean!$C$5),"IndieWave","No Campaign"))))</f>
        <v>SummerBeats</v>
      </c>
      <c r="R187" t="str">
        <f t="shared" si="18"/>
        <v>Before</v>
      </c>
      <c r="S187" t="str">
        <f t="shared" si="19"/>
        <v>During</v>
      </c>
      <c r="X187" s="47">
        <f>IFERROR(
_xlfn.XLOOKUP(Q187,
Campaign_Metadata_clean!A:A,
Campaign_Metadata_clean!B:B),
"")</f>
        <v>45458</v>
      </c>
      <c r="Y187" s="47">
        <f>IFERROR(
_xlfn.XLOOKUP(Q187,
Campaign_Metadata_clean!A:A,
Campaign_Metadata_clean!C:C),
"")</f>
        <v>45488</v>
      </c>
      <c r="Z187">
        <f t="shared" si="21"/>
        <v>7.7477551774674469E-2</v>
      </c>
      <c r="AA187">
        <f t="shared" si="22"/>
        <v>9.67495057607137E-2</v>
      </c>
      <c r="AB187">
        <f t="shared" ca="1" si="23"/>
        <v>0</v>
      </c>
    </row>
    <row r="188" spans="1:28">
      <c r="A188" s="1" t="s">
        <v>227</v>
      </c>
      <c r="B188" s="1" t="s">
        <v>31</v>
      </c>
      <c r="C188" s="46">
        <v>45795</v>
      </c>
      <c r="D188" s="1" t="s">
        <v>57</v>
      </c>
      <c r="E188" s="1" t="s">
        <v>376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21</v>
      </c>
      <c r="M188" s="1" t="s">
        <v>45</v>
      </c>
      <c r="N188" s="13">
        <f t="shared" si="20"/>
        <v>0.12920396165457337</v>
      </c>
      <c r="O188">
        <f t="shared" si="16"/>
        <v>58</v>
      </c>
      <c r="P188">
        <f t="shared" si="17"/>
        <v>4879</v>
      </c>
      <c r="Q188" t="str">
        <f>IF(AND(--$C188&gt;=--Campaign_Metadata_clean!$B$2,--$C188&lt;=--Campaign_Metadata_clean!$C$2),"SummerBeats",
IF(AND(--$C188&gt;=--Campaign_Metadata_clean!$B$3,--$C188&lt;=--Campaign_Metadata_clean!$C$3),"Wrapped2024",
IF(AND(--$C188&gt;=--Campaign_Metadata_clean!$B$4,--$C188&lt;=--Campaign_Metadata_clean!$C$4),"ChillVibes",
IF(AND(--$C188&gt;=--Campaign_Metadata_clean!$B$5,--$C188&lt;=--Campaign_Metadata_clean!$C$5),"IndieWave","No Campaign"))))</f>
        <v>No Campaign</v>
      </c>
      <c r="R188" t="str">
        <f t="shared" si="18"/>
        <v>Other</v>
      </c>
      <c r="S188" t="str">
        <f t="shared" si="19"/>
        <v/>
      </c>
      <c r="X188" s="47" t="str">
        <f>IFERROR(
_xlfn.XLOOKUP(Q188,
Campaign_Metadata_clean!A:A,
Campaign_Metadata_clean!B:B),
"")</f>
        <v/>
      </c>
      <c r="Y188" s="47" t="str">
        <f>IFERROR(
_xlfn.XLOOKUP(Q188,
Campaign_Metadata_clean!A:A,
Campaign_Metadata_clean!C:C),
"")</f>
        <v/>
      </c>
      <c r="Z188">
        <f t="shared" si="21"/>
        <v>0</v>
      </c>
      <c r="AA188">
        <f t="shared" si="22"/>
        <v>0</v>
      </c>
      <c r="AB188">
        <f t="shared" si="23"/>
        <v>0</v>
      </c>
    </row>
    <row r="189" spans="1:28">
      <c r="A189" s="1" t="s">
        <v>228</v>
      </c>
      <c r="B189" s="1" t="s">
        <v>14</v>
      </c>
      <c r="C189" s="46">
        <v>45814</v>
      </c>
      <c r="D189" s="1" t="s">
        <v>15</v>
      </c>
      <c r="E189" s="1" t="s">
        <v>376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/>
      <c r="N189" s="13">
        <f t="shared" si="20"/>
        <v>9.8222596516111871E-2</v>
      </c>
      <c r="O189">
        <f t="shared" si="16"/>
        <v>111</v>
      </c>
      <c r="P189">
        <f t="shared" si="17"/>
        <v>4432</v>
      </c>
      <c r="Q189" t="str">
        <f>IF(AND(--$C189&gt;=--Campaign_Metadata_clean!$B$2,--$C189&lt;=--Campaign_Metadata_clean!$C$2),"SummerBeats",
IF(AND(--$C189&gt;=--Campaign_Metadata_clean!$B$3,--$C189&lt;=--Campaign_Metadata_clean!$C$3),"Wrapped2024",
IF(AND(--$C189&gt;=--Campaign_Metadata_clean!$B$4,--$C189&lt;=--Campaign_Metadata_clean!$C$4),"ChillVibes",
IF(AND(--$C189&gt;=--Campaign_Metadata_clean!$B$5,--$C189&lt;=--Campaign_Metadata_clean!$C$5),"IndieWave","No Campaign"))))</f>
        <v>No Campaign</v>
      </c>
      <c r="R189" t="str">
        <f t="shared" si="18"/>
        <v>Other</v>
      </c>
      <c r="S189" t="str">
        <f t="shared" si="19"/>
        <v/>
      </c>
      <c r="X189" s="47" t="str">
        <f>IFERROR(
_xlfn.XLOOKUP(Q189,
Campaign_Metadata_clean!A:A,
Campaign_Metadata_clean!B:B),
"")</f>
        <v/>
      </c>
      <c r="Y189" s="47" t="str">
        <f>IFERROR(
_xlfn.XLOOKUP(Q189,
Campaign_Metadata_clean!A:A,
Campaign_Metadata_clean!C:C),
"")</f>
        <v/>
      </c>
      <c r="Z189">
        <f t="shared" si="21"/>
        <v>0</v>
      </c>
      <c r="AA189">
        <f t="shared" si="22"/>
        <v>0</v>
      </c>
      <c r="AB189">
        <f t="shared" si="23"/>
        <v>0</v>
      </c>
    </row>
    <row r="190" spans="1:28">
      <c r="A190" s="1" t="s">
        <v>229</v>
      </c>
      <c r="B190" s="1" t="s">
        <v>31</v>
      </c>
      <c r="C190" s="46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21</v>
      </c>
      <c r="M190" s="1" t="s">
        <v>45</v>
      </c>
      <c r="N190" s="13">
        <f t="shared" si="20"/>
        <v>0.11349824183418362</v>
      </c>
      <c r="O190">
        <f t="shared" si="16"/>
        <v>74</v>
      </c>
      <c r="P190">
        <f t="shared" si="17"/>
        <v>5584</v>
      </c>
      <c r="Q190" t="str">
        <f>IF(AND(--$C190&gt;=--Campaign_Metadata_clean!$B$2,--$C190&lt;=--Campaign_Metadata_clean!$C$2),"SummerBeats",
IF(AND(--$C190&gt;=--Campaign_Metadata_clean!$B$3,--$C190&lt;=--Campaign_Metadata_clean!$C$3),"Wrapped2024",
IF(AND(--$C190&gt;=--Campaign_Metadata_clean!$B$4,--$C190&lt;=--Campaign_Metadata_clean!$C$4),"ChillVibes",
IF(AND(--$C190&gt;=--Campaign_Metadata_clean!$B$5,--$C190&lt;=--Campaign_Metadata_clean!$C$5),"IndieWave","No Campaign"))))</f>
        <v>No Campaign</v>
      </c>
      <c r="R190" t="str">
        <f t="shared" si="18"/>
        <v>Other</v>
      </c>
      <c r="S190" t="str">
        <f t="shared" si="19"/>
        <v/>
      </c>
      <c r="X190" s="47" t="str">
        <f>IFERROR(
_xlfn.XLOOKUP(Q190,
Campaign_Metadata_clean!A:A,
Campaign_Metadata_clean!B:B),
"")</f>
        <v/>
      </c>
      <c r="Y190" s="47" t="str">
        <f>IFERROR(
_xlfn.XLOOKUP(Q190,
Campaign_Metadata_clean!A:A,
Campaign_Metadata_clean!C:C),
"")</f>
        <v/>
      </c>
      <c r="Z190">
        <f t="shared" si="21"/>
        <v>0</v>
      </c>
      <c r="AA190">
        <f t="shared" si="22"/>
        <v>0</v>
      </c>
      <c r="AB190">
        <f t="shared" si="23"/>
        <v>0</v>
      </c>
    </row>
    <row r="191" spans="1:28">
      <c r="A191" s="1" t="s">
        <v>230</v>
      </c>
      <c r="B191" s="1" t="s">
        <v>14</v>
      </c>
      <c r="C191" s="46">
        <v>45673</v>
      </c>
      <c r="D191" s="1" t="s">
        <v>15</v>
      </c>
      <c r="E191" s="1" t="s">
        <v>375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45</v>
      </c>
      <c r="M191" s="1" t="s">
        <v>42</v>
      </c>
      <c r="N191" s="13">
        <f t="shared" si="20"/>
        <v>9.4251731312692155E-2</v>
      </c>
      <c r="O191">
        <f t="shared" si="16"/>
        <v>124</v>
      </c>
      <c r="P191">
        <f t="shared" si="17"/>
        <v>3035</v>
      </c>
      <c r="Q191" t="str">
        <f>IF(AND(--$C191&gt;=--Campaign_Metadata_clean!$B$2,--$C191&lt;=--Campaign_Metadata_clean!$C$2),"SummerBeats",
IF(AND(--$C191&gt;=--Campaign_Metadata_clean!$B$3,--$C191&lt;=--Campaign_Metadata_clean!$C$3),"Wrapped2024",
IF(AND(--$C191&gt;=--Campaign_Metadata_clean!$B$4,--$C191&lt;=--Campaign_Metadata_clean!$C$4),"ChillVibes",
IF(AND(--$C191&gt;=--Campaign_Metadata_clean!$B$5,--$C191&lt;=--Campaign_Metadata_clean!$C$5),"IndieWave","No Campaign"))))</f>
        <v>ChillVibes</v>
      </c>
      <c r="R191" t="str">
        <f t="shared" si="18"/>
        <v>During</v>
      </c>
      <c r="S191" t="str">
        <f t="shared" si="19"/>
        <v>During</v>
      </c>
      <c r="X191" s="47">
        <f>IFERROR(
_xlfn.XLOOKUP(Q191,
Campaign_Metadata_clean!A:A,
Campaign_Metadata_clean!B:B),
"")</f>
        <v>45667</v>
      </c>
      <c r="Y191" s="47">
        <f>IFERROR(
_xlfn.XLOOKUP(Q191,
Campaign_Metadata_clean!A:A,
Campaign_Metadata_clean!C:C),
"")</f>
        <v>45698</v>
      </c>
      <c r="Z191">
        <f t="shared" si="21"/>
        <v>0.10086311618757582</v>
      </c>
      <c r="AA191">
        <f t="shared" si="22"/>
        <v>0.10541160412718438</v>
      </c>
      <c r="AB191">
        <f t="shared" ca="1" si="23"/>
        <v>0</v>
      </c>
    </row>
    <row r="192" spans="1:28">
      <c r="A192" s="1" t="s">
        <v>231</v>
      </c>
      <c r="B192" s="1" t="s">
        <v>31</v>
      </c>
      <c r="C192" s="46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21</v>
      </c>
      <c r="M192" s="1" t="s">
        <v>45</v>
      </c>
      <c r="N192" s="13">
        <f t="shared" si="20"/>
        <v>0.10173025732031943</v>
      </c>
      <c r="O192">
        <f t="shared" si="16"/>
        <v>105</v>
      </c>
      <c r="P192">
        <f t="shared" si="17"/>
        <v>4586</v>
      </c>
      <c r="Q192" t="str">
        <f>IF(AND(--$C192&gt;=--Campaign_Metadata_clean!$B$2,--$C192&lt;=--Campaign_Metadata_clean!$C$2),"SummerBeats",
IF(AND(--$C192&gt;=--Campaign_Metadata_clean!$B$3,--$C192&lt;=--Campaign_Metadata_clean!$C$3),"Wrapped2024",
IF(AND(--$C192&gt;=--Campaign_Metadata_clean!$B$4,--$C192&lt;=--Campaign_Metadata_clean!$C$4),"ChillVibes",
IF(AND(--$C192&gt;=--Campaign_Metadata_clean!$B$5,--$C192&lt;=--Campaign_Metadata_clean!$C$5),"IndieWave","No Campaign"))))</f>
        <v>No Campaign</v>
      </c>
      <c r="R192" t="str">
        <f t="shared" si="18"/>
        <v>Before</v>
      </c>
      <c r="S192" t="str">
        <f t="shared" si="19"/>
        <v/>
      </c>
      <c r="X192" s="47" t="str">
        <f>IFERROR(
_xlfn.XLOOKUP(Q192,
Campaign_Metadata_clean!A:A,
Campaign_Metadata_clean!B:B),
"")</f>
        <v/>
      </c>
      <c r="Y192" s="47" t="str">
        <f>IFERROR(
_xlfn.XLOOKUP(Q192,
Campaign_Metadata_clean!A:A,
Campaign_Metadata_clean!C:C),
"")</f>
        <v/>
      </c>
      <c r="Z192">
        <f t="shared" si="21"/>
        <v>0</v>
      </c>
      <c r="AA192">
        <f t="shared" si="22"/>
        <v>0</v>
      </c>
      <c r="AB192">
        <f t="shared" si="23"/>
        <v>0</v>
      </c>
    </row>
    <row r="193" spans="1:28">
      <c r="A193" s="1" t="s">
        <v>232</v>
      </c>
      <c r="B193" s="1" t="s">
        <v>24</v>
      </c>
      <c r="C193" s="46">
        <v>45551</v>
      </c>
      <c r="D193" s="1" t="s">
        <v>25</v>
      </c>
      <c r="E193" s="1" t="s">
        <v>373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21</v>
      </c>
      <c r="M193" s="1" t="s">
        <v>377</v>
      </c>
      <c r="N193" s="13">
        <f t="shared" si="20"/>
        <v>8.9237069349238848E-2</v>
      </c>
      <c r="O193">
        <f t="shared" si="16"/>
        <v>139</v>
      </c>
      <c r="P193">
        <f t="shared" si="17"/>
        <v>5012</v>
      </c>
      <c r="Q193" t="str">
        <f>IF(AND(--$C193&gt;=--Campaign_Metadata_clean!$B$2,--$C193&lt;=--Campaign_Metadata_clean!$C$2),"SummerBeats",
IF(AND(--$C193&gt;=--Campaign_Metadata_clean!$B$3,--$C193&lt;=--Campaign_Metadata_clean!$C$3),"Wrapped2024",
IF(AND(--$C193&gt;=--Campaign_Metadata_clean!$B$4,--$C193&lt;=--Campaign_Metadata_clean!$C$4),"ChillVibes",
IF(AND(--$C193&gt;=--Campaign_Metadata_clean!$B$5,--$C193&lt;=--Campaign_Metadata_clean!$C$5),"IndieWave","No Campaign"))))</f>
        <v>No Campaign</v>
      </c>
      <c r="R193" t="str">
        <f t="shared" si="18"/>
        <v>Before</v>
      </c>
      <c r="S193" t="str">
        <f t="shared" si="19"/>
        <v/>
      </c>
      <c r="X193" s="47" t="str">
        <f>IFERROR(
_xlfn.XLOOKUP(Q193,
Campaign_Metadata_clean!A:A,
Campaign_Metadata_clean!B:B),
"")</f>
        <v/>
      </c>
      <c r="Y193" s="47" t="str">
        <f>IFERROR(
_xlfn.XLOOKUP(Q193,
Campaign_Metadata_clean!A:A,
Campaign_Metadata_clean!C:C),
"")</f>
        <v/>
      </c>
      <c r="Z193">
        <f t="shared" si="21"/>
        <v>0</v>
      </c>
      <c r="AA193">
        <f t="shared" si="22"/>
        <v>0</v>
      </c>
      <c r="AB193">
        <f t="shared" si="23"/>
        <v>0</v>
      </c>
    </row>
    <row r="194" spans="1:28">
      <c r="A194" s="1" t="s">
        <v>233</v>
      </c>
      <c r="B194" s="1" t="s">
        <v>31</v>
      </c>
      <c r="C194" s="46">
        <v>45447</v>
      </c>
      <c r="D194" s="1" t="s">
        <v>57</v>
      </c>
      <c r="E194" s="1" t="s">
        <v>376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21</v>
      </c>
      <c r="M194" s="1" t="s">
        <v>45</v>
      </c>
      <c r="N194" s="13">
        <f t="shared" si="20"/>
        <v>6.5015829941203071E-2</v>
      </c>
      <c r="O194">
        <f t="shared" ref="O194:O257" si="24">RANK(N194,$N:$N,0)</f>
        <v>211</v>
      </c>
      <c r="P194">
        <f t="shared" ref="P194:P257" si="25">F194+G194+H194</f>
        <v>1725</v>
      </c>
      <c r="Q194" t="str">
        <f>IF(AND(--$C194&gt;=--Campaign_Metadata_clean!$B$2,--$C194&lt;=--Campaign_Metadata_clean!$C$2),"SummerBeats",
IF(AND(--$C194&gt;=--Campaign_Metadata_clean!$B$3,--$C194&lt;=--Campaign_Metadata_clean!$C$3),"Wrapped2024",
IF(AND(--$C194&gt;=--Campaign_Metadata_clean!$B$4,--$C194&lt;=--Campaign_Metadata_clean!$C$4),"ChillVibes",
IF(AND(--$C194&gt;=--Campaign_Metadata_clean!$B$5,--$C194&lt;=--Campaign_Metadata_clean!$C$5),"IndieWave","No Campaign"))))</f>
        <v>No Campaign</v>
      </c>
      <c r="R194" t="str">
        <f t="shared" ref="R194:R257" si="26">IF(AND(C194&gt;=DATE(2025,1,10), C194&lt;=DATE(2025,2,10)),
"During",
IF(C194&lt;DATE(2025,1,10),
"Before",
"Other"))</f>
        <v>Before</v>
      </c>
      <c r="S194" t="str">
        <f t="shared" ref="S194:S257" si="27">IF(OR(X194="",Y194=""),"",
IF(AND(C194&gt;=X194-30,C194&lt;X194),"Before",
IF(AND(C194&gt;=X194,C194&lt;=Y194),"During","Other")))</f>
        <v/>
      </c>
      <c r="X194" s="47" t="str">
        <f>IFERROR(
_xlfn.XLOOKUP(Q194,
Campaign_Metadata_clean!A:A,
Campaign_Metadata_clean!B:B),
"")</f>
        <v/>
      </c>
      <c r="Y194" s="47" t="str">
        <f>IFERROR(
_xlfn.XLOOKUP(Q194,
Campaign_Metadata_clean!A:A,
Campaign_Metadata_clean!C:C),
"")</f>
        <v/>
      </c>
      <c r="Z194">
        <f t="shared" si="21"/>
        <v>0</v>
      </c>
      <c r="AA194">
        <f t="shared" si="22"/>
        <v>0</v>
      </c>
      <c r="AB194">
        <f t="shared" si="23"/>
        <v>0</v>
      </c>
    </row>
    <row r="195" spans="1:28">
      <c r="A195" s="1" t="s">
        <v>234</v>
      </c>
      <c r="B195" s="1" t="s">
        <v>24</v>
      </c>
      <c r="C195" s="46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377</v>
      </c>
      <c r="M195" s="1" t="s">
        <v>42</v>
      </c>
      <c r="N195" s="13">
        <f t="shared" ref="N195:N258" si="28">(F195+G195+H195)/I195</f>
        <v>5.6436966727204191E-2</v>
      </c>
      <c r="O195">
        <f t="shared" si="24"/>
        <v>234</v>
      </c>
      <c r="P195">
        <f t="shared" si="25"/>
        <v>3294</v>
      </c>
      <c r="Q195" t="str">
        <f>IF(AND(--$C195&gt;=--Campaign_Metadata_clean!$B$2,--$C195&lt;=--Campaign_Metadata_clean!$C$2),"SummerBeats",
IF(AND(--$C195&gt;=--Campaign_Metadata_clean!$B$3,--$C195&lt;=--Campaign_Metadata_clean!$C$3),"Wrapped2024",
IF(AND(--$C195&gt;=--Campaign_Metadata_clean!$B$4,--$C195&lt;=--Campaign_Metadata_clean!$C$4),"ChillVibes",
IF(AND(--$C195&gt;=--Campaign_Metadata_clean!$B$5,--$C195&lt;=--Campaign_Metadata_clean!$C$5),"IndieWave","No Campaign"))))</f>
        <v>No Campaign</v>
      </c>
      <c r="R195" t="str">
        <f t="shared" si="26"/>
        <v>Before</v>
      </c>
      <c r="S195" t="str">
        <f t="shared" si="27"/>
        <v/>
      </c>
      <c r="X195" s="47" t="str">
        <f>IFERROR(
_xlfn.XLOOKUP(Q195,
Campaign_Metadata_clean!A:A,
Campaign_Metadata_clean!B:B),
"")</f>
        <v/>
      </c>
      <c r="Y195" s="47" t="str">
        <f>IFERROR(
_xlfn.XLOOKUP(Q195,
Campaign_Metadata_clean!A:A,
Campaign_Metadata_clean!C:C),
"")</f>
        <v/>
      </c>
      <c r="Z195">
        <f t="shared" ref="Z195:Z258" si="29">IFERROR(
AVERAGEIFS(N:N,
C:C, "&gt;=" &amp; X195-30,
C:C, "&lt;" &amp; X195),
0)</f>
        <v>0</v>
      </c>
      <c r="AA195">
        <f t="shared" ref="AA195:AA258" si="30">IFERROR(
AVERAGEIFS(N:N,
C:C, "&gt;=" &amp; X195,
C:C, "&lt;=" &amp; Y195),
0)</f>
        <v>0</v>
      </c>
      <c r="AB195">
        <f t="shared" ref="AB195:AB258" si="31">IF(AA195=0,0,(AB195-AA195)/AA195)</f>
        <v>0</v>
      </c>
    </row>
    <row r="196" spans="1:28">
      <c r="A196" s="1" t="s">
        <v>235</v>
      </c>
      <c r="B196" s="1" t="s">
        <v>31</v>
      </c>
      <c r="C196" s="46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21</v>
      </c>
      <c r="M196" s="1" t="s">
        <v>378</v>
      </c>
      <c r="N196" s="13">
        <f t="shared" si="28"/>
        <v>0.10713930842607314</v>
      </c>
      <c r="O196">
        <f t="shared" si="24"/>
        <v>91</v>
      </c>
      <c r="P196">
        <f t="shared" si="25"/>
        <v>4313</v>
      </c>
      <c r="Q196" t="str">
        <f>IF(AND(--$C196&gt;=--Campaign_Metadata_clean!$B$2,--$C196&lt;=--Campaign_Metadata_clean!$C$2),"SummerBeats",
IF(AND(--$C196&gt;=--Campaign_Metadata_clean!$B$3,--$C196&lt;=--Campaign_Metadata_clean!$C$3),"Wrapped2024",
IF(AND(--$C196&gt;=--Campaign_Metadata_clean!$B$4,--$C196&lt;=--Campaign_Metadata_clean!$C$4),"ChillVibes",
IF(AND(--$C196&gt;=--Campaign_Metadata_clean!$B$5,--$C196&lt;=--Campaign_Metadata_clean!$C$5),"IndieWave","No Campaign"))))</f>
        <v>No Campaign</v>
      </c>
      <c r="R196" t="str">
        <f t="shared" si="26"/>
        <v>Before</v>
      </c>
      <c r="S196" t="str">
        <f t="shared" si="27"/>
        <v/>
      </c>
      <c r="X196" s="47" t="str">
        <f>IFERROR(
_xlfn.XLOOKUP(Q196,
Campaign_Metadata_clean!A:A,
Campaign_Metadata_clean!B:B),
"")</f>
        <v/>
      </c>
      <c r="Y196" s="47" t="str">
        <f>IFERROR(
_xlfn.XLOOKUP(Q196,
Campaign_Metadata_clean!A:A,
Campaign_Metadata_clean!C:C),
"")</f>
        <v/>
      </c>
      <c r="Z196">
        <f t="shared" si="29"/>
        <v>0</v>
      </c>
      <c r="AA196">
        <f t="shared" si="30"/>
        <v>0</v>
      </c>
      <c r="AB196">
        <f t="shared" si="31"/>
        <v>0</v>
      </c>
    </row>
    <row r="197" spans="1:28">
      <c r="A197" s="1" t="s">
        <v>236</v>
      </c>
      <c r="B197" s="1" t="s">
        <v>14</v>
      </c>
      <c r="C197" s="46">
        <v>45669</v>
      </c>
      <c r="D197" s="1" t="s">
        <v>15</v>
      </c>
      <c r="E197" s="1" t="s">
        <v>374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45</v>
      </c>
      <c r="M197" s="1" t="s">
        <v>42</v>
      </c>
      <c r="N197" s="13">
        <f t="shared" si="28"/>
        <v>5.1833640647408315E-2</v>
      </c>
      <c r="O197">
        <f t="shared" si="24"/>
        <v>250</v>
      </c>
      <c r="P197">
        <f t="shared" si="25"/>
        <v>2530</v>
      </c>
      <c r="Q197" t="str">
        <f>IF(AND(--$C197&gt;=--Campaign_Metadata_clean!$B$2,--$C197&lt;=--Campaign_Metadata_clean!$C$2),"SummerBeats",
IF(AND(--$C197&gt;=--Campaign_Metadata_clean!$B$3,--$C197&lt;=--Campaign_Metadata_clean!$C$3),"Wrapped2024",
IF(AND(--$C197&gt;=--Campaign_Metadata_clean!$B$4,--$C197&lt;=--Campaign_Metadata_clean!$C$4),"ChillVibes",
IF(AND(--$C197&gt;=--Campaign_Metadata_clean!$B$5,--$C197&lt;=--Campaign_Metadata_clean!$C$5),"IndieWave","No Campaign"))))</f>
        <v>ChillVibes</v>
      </c>
      <c r="R197" t="str">
        <f t="shared" si="26"/>
        <v>During</v>
      </c>
      <c r="S197" t="str">
        <f t="shared" si="27"/>
        <v>During</v>
      </c>
      <c r="X197" s="47">
        <f>IFERROR(
_xlfn.XLOOKUP(Q197,
Campaign_Metadata_clean!A:A,
Campaign_Metadata_clean!B:B),
"")</f>
        <v>45667</v>
      </c>
      <c r="Y197" s="47">
        <f>IFERROR(
_xlfn.XLOOKUP(Q197,
Campaign_Metadata_clean!A:A,
Campaign_Metadata_clean!C:C),
"")</f>
        <v>45698</v>
      </c>
      <c r="Z197">
        <f t="shared" si="29"/>
        <v>0.10086311618757582</v>
      </c>
      <c r="AA197">
        <f t="shared" si="30"/>
        <v>0.10541160412718438</v>
      </c>
      <c r="AB197">
        <f t="shared" ca="1" si="31"/>
        <v>0</v>
      </c>
    </row>
    <row r="198" spans="1:28">
      <c r="A198" s="1" t="s">
        <v>237</v>
      </c>
      <c r="B198" s="1" t="s">
        <v>31</v>
      </c>
      <c r="C198" s="46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21</v>
      </c>
      <c r="M198" s="1" t="s">
        <v>378</v>
      </c>
      <c r="N198" s="13">
        <f t="shared" si="28"/>
        <v>3.5821698002251455E-2</v>
      </c>
      <c r="O198">
        <f t="shared" si="24"/>
        <v>284</v>
      </c>
      <c r="P198">
        <f t="shared" si="25"/>
        <v>2132</v>
      </c>
      <c r="Q198" t="str">
        <f>IF(AND(--$C198&gt;=--Campaign_Metadata_clean!$B$2,--$C198&lt;=--Campaign_Metadata_clean!$C$2),"SummerBeats",
IF(AND(--$C198&gt;=--Campaign_Metadata_clean!$B$3,--$C198&lt;=--Campaign_Metadata_clean!$C$3),"Wrapped2024",
IF(AND(--$C198&gt;=--Campaign_Metadata_clean!$B$4,--$C198&lt;=--Campaign_Metadata_clean!$C$4),"ChillVibes",
IF(AND(--$C198&gt;=--Campaign_Metadata_clean!$B$5,--$C198&lt;=--Campaign_Metadata_clean!$C$5),"IndieWave","No Campaign"))))</f>
        <v>Wrapped2024</v>
      </c>
      <c r="R198" t="str">
        <f t="shared" si="26"/>
        <v>Before</v>
      </c>
      <c r="S198" t="str">
        <f t="shared" si="27"/>
        <v>During</v>
      </c>
      <c r="X198" s="47">
        <f>IFERROR(
_xlfn.XLOOKUP(Q198,
Campaign_Metadata_clean!A:A,
Campaign_Metadata_clean!B:B),
"")</f>
        <v>45627</v>
      </c>
      <c r="Y198" s="47">
        <f>IFERROR(
_xlfn.XLOOKUP(Q198,
Campaign_Metadata_clean!A:A,
Campaign_Metadata_clean!C:C),
"")</f>
        <v>45657</v>
      </c>
      <c r="Z198">
        <f t="shared" si="29"/>
        <v>9.2680818872661358E-2</v>
      </c>
      <c r="AA198">
        <f t="shared" si="30"/>
        <v>9.9294724623054248E-2</v>
      </c>
      <c r="AB198">
        <f t="shared" ca="1" si="31"/>
        <v>0</v>
      </c>
    </row>
    <row r="199" spans="1:28">
      <c r="A199" s="1" t="s">
        <v>238</v>
      </c>
      <c r="B199" s="1" t="s">
        <v>24</v>
      </c>
      <c r="C199" s="46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45</v>
      </c>
      <c r="M199" s="1" t="s">
        <v>42</v>
      </c>
      <c r="N199" s="13">
        <f t="shared" si="28"/>
        <v>3.5034029141734799E-2</v>
      </c>
      <c r="O199">
        <f t="shared" si="24"/>
        <v>287</v>
      </c>
      <c r="P199">
        <f t="shared" si="25"/>
        <v>1534</v>
      </c>
      <c r="Q199" t="str">
        <f>IF(AND(--$C199&gt;=--Campaign_Metadata_clean!$B$2,--$C199&lt;=--Campaign_Metadata_clean!$C$2),"SummerBeats",
IF(AND(--$C199&gt;=--Campaign_Metadata_clean!$B$3,--$C199&lt;=--Campaign_Metadata_clean!$C$3),"Wrapped2024",
IF(AND(--$C199&gt;=--Campaign_Metadata_clean!$B$4,--$C199&lt;=--Campaign_Metadata_clean!$C$4),"ChillVibes",
IF(AND(--$C199&gt;=--Campaign_Metadata_clean!$B$5,--$C199&lt;=--Campaign_Metadata_clean!$C$5),"IndieWave","No Campaign"))))</f>
        <v>ChillVibes</v>
      </c>
      <c r="R199" t="str">
        <f t="shared" si="26"/>
        <v>During</v>
      </c>
      <c r="S199" t="str">
        <f t="shared" si="27"/>
        <v>During</v>
      </c>
      <c r="X199" s="47">
        <f>IFERROR(
_xlfn.XLOOKUP(Q199,
Campaign_Metadata_clean!A:A,
Campaign_Metadata_clean!B:B),
"")</f>
        <v>45667</v>
      </c>
      <c r="Y199" s="47">
        <f>IFERROR(
_xlfn.XLOOKUP(Q199,
Campaign_Metadata_clean!A:A,
Campaign_Metadata_clean!C:C),
"")</f>
        <v>45698</v>
      </c>
      <c r="Z199">
        <f t="shared" si="29"/>
        <v>0.10086311618757582</v>
      </c>
      <c r="AA199">
        <f t="shared" si="30"/>
        <v>0.10541160412718438</v>
      </c>
      <c r="AB199">
        <f t="shared" ca="1" si="31"/>
        <v>0</v>
      </c>
    </row>
    <row r="200" spans="1:28">
      <c r="A200" s="1" t="s">
        <v>239</v>
      </c>
      <c r="B200" s="1" t="s">
        <v>24</v>
      </c>
      <c r="C200" s="46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45</v>
      </c>
      <c r="M200" s="1" t="s">
        <v>42</v>
      </c>
      <c r="N200" s="13">
        <f t="shared" si="28"/>
        <v>0.13946227759085811</v>
      </c>
      <c r="O200">
        <f t="shared" si="24"/>
        <v>47</v>
      </c>
      <c r="P200">
        <f t="shared" si="25"/>
        <v>4601</v>
      </c>
      <c r="Q200" t="str">
        <f>IF(AND(--$C200&gt;=--Campaign_Metadata_clean!$B$2,--$C200&lt;=--Campaign_Metadata_clean!$C$2),"SummerBeats",
IF(AND(--$C200&gt;=--Campaign_Metadata_clean!$B$3,--$C200&lt;=--Campaign_Metadata_clean!$C$3),"Wrapped2024",
IF(AND(--$C200&gt;=--Campaign_Metadata_clean!$B$4,--$C200&lt;=--Campaign_Metadata_clean!$C$4),"ChillVibes",
IF(AND(--$C200&gt;=--Campaign_Metadata_clean!$B$5,--$C200&lt;=--Campaign_Metadata_clean!$C$5),"IndieWave","No Campaign"))))</f>
        <v>SummerBeats</v>
      </c>
      <c r="R200" t="str">
        <f t="shared" si="26"/>
        <v>Before</v>
      </c>
      <c r="S200" t="str">
        <f t="shared" si="27"/>
        <v>During</v>
      </c>
      <c r="X200" s="47">
        <f>IFERROR(
_xlfn.XLOOKUP(Q200,
Campaign_Metadata_clean!A:A,
Campaign_Metadata_clean!B:B),
"")</f>
        <v>45458</v>
      </c>
      <c r="Y200" s="47">
        <f>IFERROR(
_xlfn.XLOOKUP(Q200,
Campaign_Metadata_clean!A:A,
Campaign_Metadata_clean!C:C),
"")</f>
        <v>45488</v>
      </c>
      <c r="Z200">
        <f t="shared" si="29"/>
        <v>7.7477551774674469E-2</v>
      </c>
      <c r="AA200">
        <f t="shared" si="30"/>
        <v>9.67495057607137E-2</v>
      </c>
      <c r="AB200">
        <f t="shared" ca="1" si="31"/>
        <v>0</v>
      </c>
    </row>
    <row r="201" spans="1:28">
      <c r="A201" s="1" t="s">
        <v>240</v>
      </c>
      <c r="B201" s="1" t="s">
        <v>24</v>
      </c>
      <c r="C201" s="46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/>
      <c r="N201" s="13">
        <f t="shared" si="28"/>
        <v>4.5247823769763724E-2</v>
      </c>
      <c r="O201">
        <f t="shared" si="24"/>
        <v>265</v>
      </c>
      <c r="P201">
        <f t="shared" si="25"/>
        <v>2547</v>
      </c>
      <c r="Q201" t="str">
        <f>IF(AND(--$C201&gt;=--Campaign_Metadata_clean!$B$2,--$C201&lt;=--Campaign_Metadata_clean!$C$2),"SummerBeats",
IF(AND(--$C201&gt;=--Campaign_Metadata_clean!$B$3,--$C201&lt;=--Campaign_Metadata_clean!$C$3),"Wrapped2024",
IF(AND(--$C201&gt;=--Campaign_Metadata_clean!$B$4,--$C201&lt;=--Campaign_Metadata_clean!$C$4),"ChillVibes",
IF(AND(--$C201&gt;=--Campaign_Metadata_clean!$B$5,--$C201&lt;=--Campaign_Metadata_clean!$C$5),"IndieWave","No Campaign"))))</f>
        <v>No Campaign</v>
      </c>
      <c r="R201" t="str">
        <f t="shared" si="26"/>
        <v>Before</v>
      </c>
      <c r="S201" t="str">
        <f t="shared" si="27"/>
        <v/>
      </c>
      <c r="X201" s="47" t="str">
        <f>IFERROR(
_xlfn.XLOOKUP(Q201,
Campaign_Metadata_clean!A:A,
Campaign_Metadata_clean!B:B),
"")</f>
        <v/>
      </c>
      <c r="Y201" s="47" t="str">
        <f>IFERROR(
_xlfn.XLOOKUP(Q201,
Campaign_Metadata_clean!A:A,
Campaign_Metadata_clean!C:C),
"")</f>
        <v/>
      </c>
      <c r="Z201">
        <f t="shared" si="29"/>
        <v>0</v>
      </c>
      <c r="AA201">
        <f t="shared" si="30"/>
        <v>0</v>
      </c>
      <c r="AB201">
        <f t="shared" si="31"/>
        <v>0</v>
      </c>
    </row>
    <row r="202" spans="1:28">
      <c r="A202" s="1" t="s">
        <v>241</v>
      </c>
      <c r="B202" s="1" t="s">
        <v>24</v>
      </c>
      <c r="C202" s="46">
        <v>45547</v>
      </c>
      <c r="D202" s="1" t="s">
        <v>25</v>
      </c>
      <c r="E202" s="1" t="s">
        <v>376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377</v>
      </c>
      <c r="M202" s="1" t="s">
        <v>42</v>
      </c>
      <c r="N202" s="13">
        <f t="shared" si="28"/>
        <v>6.2974139146620034E-2</v>
      </c>
      <c r="O202">
        <f t="shared" si="24"/>
        <v>216</v>
      </c>
      <c r="P202">
        <f t="shared" si="25"/>
        <v>2233</v>
      </c>
      <c r="Q202" t="str">
        <f>IF(AND(--$C202&gt;=--Campaign_Metadata_clean!$B$2,--$C202&lt;=--Campaign_Metadata_clean!$C$2),"SummerBeats",
IF(AND(--$C202&gt;=--Campaign_Metadata_clean!$B$3,--$C202&lt;=--Campaign_Metadata_clean!$C$3),"Wrapped2024",
IF(AND(--$C202&gt;=--Campaign_Metadata_clean!$B$4,--$C202&lt;=--Campaign_Metadata_clean!$C$4),"ChillVibes",
IF(AND(--$C202&gt;=--Campaign_Metadata_clean!$B$5,--$C202&lt;=--Campaign_Metadata_clean!$C$5),"IndieWave","No Campaign"))))</f>
        <v>No Campaign</v>
      </c>
      <c r="R202" t="str">
        <f t="shared" si="26"/>
        <v>Before</v>
      </c>
      <c r="S202" t="str">
        <f t="shared" si="27"/>
        <v/>
      </c>
      <c r="X202" s="47" t="str">
        <f>IFERROR(
_xlfn.XLOOKUP(Q202,
Campaign_Metadata_clean!A:A,
Campaign_Metadata_clean!B:B),
"")</f>
        <v/>
      </c>
      <c r="Y202" s="47" t="str">
        <f>IFERROR(
_xlfn.XLOOKUP(Q202,
Campaign_Metadata_clean!A:A,
Campaign_Metadata_clean!C:C),
"")</f>
        <v/>
      </c>
      <c r="Z202">
        <f t="shared" si="29"/>
        <v>0</v>
      </c>
      <c r="AA202">
        <f t="shared" si="30"/>
        <v>0</v>
      </c>
      <c r="AB202">
        <f t="shared" si="31"/>
        <v>0</v>
      </c>
    </row>
    <row r="203" spans="1:28">
      <c r="A203" s="1" t="s">
        <v>242</v>
      </c>
      <c r="B203" s="1" t="s">
        <v>24</v>
      </c>
      <c r="C203" s="46">
        <v>45302</v>
      </c>
      <c r="D203" s="1" t="s">
        <v>25</v>
      </c>
      <c r="E203" s="1" t="s">
        <v>376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45</v>
      </c>
      <c r="M203" s="1" t="s">
        <v>42</v>
      </c>
      <c r="N203" s="13">
        <f t="shared" si="28"/>
        <v>0.10784235029699792</v>
      </c>
      <c r="O203">
        <f t="shared" si="24"/>
        <v>88</v>
      </c>
      <c r="P203">
        <f t="shared" si="25"/>
        <v>2687</v>
      </c>
      <c r="Q203" t="str">
        <f>IF(AND(--$C203&gt;=--Campaign_Metadata_clean!$B$2,--$C203&lt;=--Campaign_Metadata_clean!$C$2),"SummerBeats",
IF(AND(--$C203&gt;=--Campaign_Metadata_clean!$B$3,--$C203&lt;=--Campaign_Metadata_clean!$C$3),"Wrapped2024",
IF(AND(--$C203&gt;=--Campaign_Metadata_clean!$B$4,--$C203&lt;=--Campaign_Metadata_clean!$C$4),"ChillVibes",
IF(AND(--$C203&gt;=--Campaign_Metadata_clean!$B$5,--$C203&lt;=--Campaign_Metadata_clean!$C$5),"IndieWave","No Campaign"))))</f>
        <v>No Campaign</v>
      </c>
      <c r="R203" t="str">
        <f t="shared" si="26"/>
        <v>Before</v>
      </c>
      <c r="S203" t="str">
        <f t="shared" si="27"/>
        <v/>
      </c>
      <c r="X203" s="47" t="str">
        <f>IFERROR(
_xlfn.XLOOKUP(Q203,
Campaign_Metadata_clean!A:A,
Campaign_Metadata_clean!B:B),
"")</f>
        <v/>
      </c>
      <c r="Y203" s="47" t="str">
        <f>IFERROR(
_xlfn.XLOOKUP(Q203,
Campaign_Metadata_clean!A:A,
Campaign_Metadata_clean!C:C),
"")</f>
        <v/>
      </c>
      <c r="Z203">
        <f t="shared" si="29"/>
        <v>0</v>
      </c>
      <c r="AA203">
        <f t="shared" si="30"/>
        <v>0</v>
      </c>
      <c r="AB203">
        <f t="shared" si="31"/>
        <v>0</v>
      </c>
    </row>
    <row r="204" spans="1:28">
      <c r="A204" s="1" t="s">
        <v>243</v>
      </c>
      <c r="B204" s="1" t="s">
        <v>14</v>
      </c>
      <c r="C204" s="46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/>
      <c r="N204" s="13">
        <f t="shared" si="28"/>
        <v>8.2690258629040073E-2</v>
      </c>
      <c r="O204">
        <f t="shared" si="24"/>
        <v>167</v>
      </c>
      <c r="P204">
        <f t="shared" si="25"/>
        <v>2561</v>
      </c>
      <c r="Q204" t="str">
        <f>IF(AND(--$C204&gt;=--Campaign_Metadata_clean!$B$2,--$C204&lt;=--Campaign_Metadata_clean!$C$2),"SummerBeats",
IF(AND(--$C204&gt;=--Campaign_Metadata_clean!$B$3,--$C204&lt;=--Campaign_Metadata_clean!$C$3),"Wrapped2024",
IF(AND(--$C204&gt;=--Campaign_Metadata_clean!$B$4,--$C204&lt;=--Campaign_Metadata_clean!$C$4),"ChillVibes",
IF(AND(--$C204&gt;=--Campaign_Metadata_clean!$B$5,--$C204&lt;=--Campaign_Metadata_clean!$C$5),"IndieWave","No Campaign"))))</f>
        <v>No Campaign</v>
      </c>
      <c r="R204" t="str">
        <f t="shared" si="26"/>
        <v>Before</v>
      </c>
      <c r="S204" t="str">
        <f t="shared" si="27"/>
        <v/>
      </c>
      <c r="X204" s="47" t="str">
        <f>IFERROR(
_xlfn.XLOOKUP(Q204,
Campaign_Metadata_clean!A:A,
Campaign_Metadata_clean!B:B),
"")</f>
        <v/>
      </c>
      <c r="Y204" s="47" t="str">
        <f>IFERROR(
_xlfn.XLOOKUP(Q204,
Campaign_Metadata_clean!A:A,
Campaign_Metadata_clean!C:C),
"")</f>
        <v/>
      </c>
      <c r="Z204">
        <f t="shared" si="29"/>
        <v>0</v>
      </c>
      <c r="AA204">
        <f t="shared" si="30"/>
        <v>0</v>
      </c>
      <c r="AB204">
        <f t="shared" si="31"/>
        <v>0</v>
      </c>
    </row>
    <row r="205" spans="1:28">
      <c r="A205" s="1" t="s">
        <v>244</v>
      </c>
      <c r="B205" s="1" t="s">
        <v>24</v>
      </c>
      <c r="C205" s="46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/>
      <c r="N205" s="13">
        <f t="shared" si="28"/>
        <v>9.7836889180216949E-2</v>
      </c>
      <c r="O205">
        <f t="shared" si="24"/>
        <v>115</v>
      </c>
      <c r="P205">
        <f t="shared" si="25"/>
        <v>4627</v>
      </c>
      <c r="Q205" t="str">
        <f>IF(AND(--$C205&gt;=--Campaign_Metadata_clean!$B$2,--$C205&lt;=--Campaign_Metadata_clean!$C$2),"SummerBeats",
IF(AND(--$C205&gt;=--Campaign_Metadata_clean!$B$3,--$C205&lt;=--Campaign_Metadata_clean!$C$3),"Wrapped2024",
IF(AND(--$C205&gt;=--Campaign_Metadata_clean!$B$4,--$C205&lt;=--Campaign_Metadata_clean!$C$4),"ChillVibes",
IF(AND(--$C205&gt;=--Campaign_Metadata_clean!$B$5,--$C205&lt;=--Campaign_Metadata_clean!$C$5),"IndieWave","No Campaign"))))</f>
        <v>Wrapped2024</v>
      </c>
      <c r="R205" t="str">
        <f t="shared" si="26"/>
        <v>Before</v>
      </c>
      <c r="S205" t="str">
        <f t="shared" si="27"/>
        <v>During</v>
      </c>
      <c r="X205" s="47">
        <f>IFERROR(
_xlfn.XLOOKUP(Q205,
Campaign_Metadata_clean!A:A,
Campaign_Metadata_clean!B:B),
"")</f>
        <v>45627</v>
      </c>
      <c r="Y205" s="47">
        <f>IFERROR(
_xlfn.XLOOKUP(Q205,
Campaign_Metadata_clean!A:A,
Campaign_Metadata_clean!C:C),
"")</f>
        <v>45657</v>
      </c>
      <c r="Z205">
        <f t="shared" si="29"/>
        <v>9.2680818872661358E-2</v>
      </c>
      <c r="AA205">
        <f t="shared" si="30"/>
        <v>9.9294724623054248E-2</v>
      </c>
      <c r="AB205">
        <f t="shared" ca="1" si="31"/>
        <v>0</v>
      </c>
    </row>
    <row r="206" spans="1:28">
      <c r="A206" s="1" t="s">
        <v>245</v>
      </c>
      <c r="B206" s="1" t="s">
        <v>24</v>
      </c>
      <c r="C206" s="46">
        <v>45763</v>
      </c>
      <c r="D206" s="1" t="s">
        <v>15</v>
      </c>
      <c r="E206" s="1" t="s">
        <v>376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/>
      <c r="N206" s="13">
        <f t="shared" si="28"/>
        <v>7.7428927315357568E-2</v>
      </c>
      <c r="O206">
        <f t="shared" si="24"/>
        <v>184</v>
      </c>
      <c r="P206">
        <f t="shared" si="25"/>
        <v>4227</v>
      </c>
      <c r="Q206" t="str">
        <f>IF(AND(--$C206&gt;=--Campaign_Metadata_clean!$B$2,--$C206&lt;=--Campaign_Metadata_clean!$C$2),"SummerBeats",
IF(AND(--$C206&gt;=--Campaign_Metadata_clean!$B$3,--$C206&lt;=--Campaign_Metadata_clean!$C$3),"Wrapped2024",
IF(AND(--$C206&gt;=--Campaign_Metadata_clean!$B$4,--$C206&lt;=--Campaign_Metadata_clean!$C$4),"ChillVibes",
IF(AND(--$C206&gt;=--Campaign_Metadata_clean!$B$5,--$C206&lt;=--Campaign_Metadata_clean!$C$5),"IndieWave","No Campaign"))))</f>
        <v>No Campaign</v>
      </c>
      <c r="R206" t="str">
        <f t="shared" si="26"/>
        <v>Other</v>
      </c>
      <c r="S206" t="str">
        <f t="shared" si="27"/>
        <v/>
      </c>
      <c r="X206" s="47" t="str">
        <f>IFERROR(
_xlfn.XLOOKUP(Q206,
Campaign_Metadata_clean!A:A,
Campaign_Metadata_clean!B:B),
"")</f>
        <v/>
      </c>
      <c r="Y206" s="47" t="str">
        <f>IFERROR(
_xlfn.XLOOKUP(Q206,
Campaign_Metadata_clean!A:A,
Campaign_Metadata_clean!C:C),
"")</f>
        <v/>
      </c>
      <c r="Z206">
        <f t="shared" si="29"/>
        <v>0</v>
      </c>
      <c r="AA206">
        <f t="shared" si="30"/>
        <v>0</v>
      </c>
      <c r="AB206">
        <f t="shared" si="31"/>
        <v>0</v>
      </c>
    </row>
    <row r="207" spans="1:28">
      <c r="A207" s="1" t="s">
        <v>246</v>
      </c>
      <c r="B207" s="1" t="s">
        <v>24</v>
      </c>
      <c r="C207" s="46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21</v>
      </c>
      <c r="M207" s="1" t="s">
        <v>377</v>
      </c>
      <c r="N207" s="13">
        <f t="shared" si="28"/>
        <v>7.9782521843353188E-2</v>
      </c>
      <c r="O207">
        <f t="shared" si="24"/>
        <v>180</v>
      </c>
      <c r="P207">
        <f t="shared" si="25"/>
        <v>4593</v>
      </c>
      <c r="Q207" t="str">
        <f>IF(AND(--$C207&gt;=--Campaign_Metadata_clean!$B$2,--$C207&lt;=--Campaign_Metadata_clean!$C$2),"SummerBeats",
IF(AND(--$C207&gt;=--Campaign_Metadata_clean!$B$3,--$C207&lt;=--Campaign_Metadata_clean!$C$3),"Wrapped2024",
IF(AND(--$C207&gt;=--Campaign_Metadata_clean!$B$4,--$C207&lt;=--Campaign_Metadata_clean!$C$4),"ChillVibes",
IF(AND(--$C207&gt;=--Campaign_Metadata_clean!$B$5,--$C207&lt;=--Campaign_Metadata_clean!$C$5),"IndieWave","No Campaign"))))</f>
        <v>No Campaign</v>
      </c>
      <c r="R207" t="str">
        <f t="shared" si="26"/>
        <v>Before</v>
      </c>
      <c r="S207" t="str">
        <f t="shared" si="27"/>
        <v/>
      </c>
      <c r="X207" s="47" t="str">
        <f>IFERROR(
_xlfn.XLOOKUP(Q207,
Campaign_Metadata_clean!A:A,
Campaign_Metadata_clean!B:B),
"")</f>
        <v/>
      </c>
      <c r="Y207" s="47" t="str">
        <f>IFERROR(
_xlfn.XLOOKUP(Q207,
Campaign_Metadata_clean!A:A,
Campaign_Metadata_clean!C:C),
"")</f>
        <v/>
      </c>
      <c r="Z207">
        <f t="shared" si="29"/>
        <v>0</v>
      </c>
      <c r="AA207">
        <f t="shared" si="30"/>
        <v>0</v>
      </c>
      <c r="AB207">
        <f t="shared" si="31"/>
        <v>0</v>
      </c>
    </row>
    <row r="208" spans="1:28">
      <c r="A208" s="1" t="s">
        <v>247</v>
      </c>
      <c r="B208" s="1" t="s">
        <v>24</v>
      </c>
      <c r="C208" s="46">
        <v>45387</v>
      </c>
      <c r="D208" s="1" t="s">
        <v>25</v>
      </c>
      <c r="E208" s="1" t="s">
        <v>376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45</v>
      </c>
      <c r="M208" s="1" t="s">
        <v>42</v>
      </c>
      <c r="N208" s="13">
        <f t="shared" si="28"/>
        <v>7.1022341272152026E-2</v>
      </c>
      <c r="O208">
        <f t="shared" si="24"/>
        <v>198</v>
      </c>
      <c r="P208">
        <f t="shared" si="25"/>
        <v>3659</v>
      </c>
      <c r="Q208" t="str">
        <f>IF(AND(--$C208&gt;=--Campaign_Metadata_clean!$B$2,--$C208&lt;=--Campaign_Metadata_clean!$C$2),"SummerBeats",
IF(AND(--$C208&gt;=--Campaign_Metadata_clean!$B$3,--$C208&lt;=--Campaign_Metadata_clean!$C$3),"Wrapped2024",
IF(AND(--$C208&gt;=--Campaign_Metadata_clean!$B$4,--$C208&lt;=--Campaign_Metadata_clean!$C$4),"ChillVibes",
IF(AND(--$C208&gt;=--Campaign_Metadata_clean!$B$5,--$C208&lt;=--Campaign_Metadata_clean!$C$5),"IndieWave","No Campaign"))))</f>
        <v>No Campaign</v>
      </c>
      <c r="R208" t="str">
        <f t="shared" si="26"/>
        <v>Before</v>
      </c>
      <c r="S208" t="str">
        <f t="shared" si="27"/>
        <v/>
      </c>
      <c r="X208" s="47" t="str">
        <f>IFERROR(
_xlfn.XLOOKUP(Q208,
Campaign_Metadata_clean!A:A,
Campaign_Metadata_clean!B:B),
"")</f>
        <v/>
      </c>
      <c r="Y208" s="47" t="str">
        <f>IFERROR(
_xlfn.XLOOKUP(Q208,
Campaign_Metadata_clean!A:A,
Campaign_Metadata_clean!C:C),
"")</f>
        <v/>
      </c>
      <c r="Z208">
        <f t="shared" si="29"/>
        <v>0</v>
      </c>
      <c r="AA208">
        <f t="shared" si="30"/>
        <v>0</v>
      </c>
      <c r="AB208">
        <f t="shared" si="31"/>
        <v>0</v>
      </c>
    </row>
    <row r="209" spans="1:28">
      <c r="A209" s="1" t="s">
        <v>248</v>
      </c>
      <c r="B209" s="1" t="s">
        <v>24</v>
      </c>
      <c r="C209" s="46">
        <v>45754</v>
      </c>
      <c r="D209" s="1" t="s">
        <v>15</v>
      </c>
      <c r="E209" s="1" t="s">
        <v>374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/>
      <c r="N209" s="13">
        <f t="shared" si="28"/>
        <v>3.9319108127547353E-2</v>
      </c>
      <c r="O209">
        <f t="shared" si="24"/>
        <v>279</v>
      </c>
      <c r="P209">
        <f t="shared" si="25"/>
        <v>2132</v>
      </c>
      <c r="Q209" t="str">
        <f>IF(AND(--$C209&gt;=--Campaign_Metadata_clean!$B$2,--$C209&lt;=--Campaign_Metadata_clean!$C$2),"SummerBeats",
IF(AND(--$C209&gt;=--Campaign_Metadata_clean!$B$3,--$C209&lt;=--Campaign_Metadata_clean!$C$3),"Wrapped2024",
IF(AND(--$C209&gt;=--Campaign_Metadata_clean!$B$4,--$C209&lt;=--Campaign_Metadata_clean!$C$4),"ChillVibes",
IF(AND(--$C209&gt;=--Campaign_Metadata_clean!$B$5,--$C209&lt;=--Campaign_Metadata_clean!$C$5),"IndieWave","No Campaign"))))</f>
        <v>No Campaign</v>
      </c>
      <c r="R209" t="str">
        <f t="shared" si="26"/>
        <v>Other</v>
      </c>
      <c r="S209" t="str">
        <f t="shared" si="27"/>
        <v/>
      </c>
      <c r="X209" s="47" t="str">
        <f>IFERROR(
_xlfn.XLOOKUP(Q209,
Campaign_Metadata_clean!A:A,
Campaign_Metadata_clean!B:B),
"")</f>
        <v/>
      </c>
      <c r="Y209" s="47" t="str">
        <f>IFERROR(
_xlfn.XLOOKUP(Q209,
Campaign_Metadata_clean!A:A,
Campaign_Metadata_clean!C:C),
"")</f>
        <v/>
      </c>
      <c r="Z209">
        <f t="shared" si="29"/>
        <v>0</v>
      </c>
      <c r="AA209">
        <f t="shared" si="30"/>
        <v>0</v>
      </c>
      <c r="AB209">
        <f t="shared" si="31"/>
        <v>0</v>
      </c>
    </row>
    <row r="210" spans="1:28">
      <c r="A210" s="1" t="s">
        <v>249</v>
      </c>
      <c r="B210" s="1" t="s">
        <v>24</v>
      </c>
      <c r="C210" s="46">
        <v>45492</v>
      </c>
      <c r="D210" s="1" t="s">
        <v>25</v>
      </c>
      <c r="E210" s="1" t="s">
        <v>373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21</v>
      </c>
      <c r="M210" s="1" t="s">
        <v>377</v>
      </c>
      <c r="N210" s="13">
        <f t="shared" si="28"/>
        <v>7.7181741758116915E-2</v>
      </c>
      <c r="O210">
        <f t="shared" si="24"/>
        <v>185</v>
      </c>
      <c r="P210">
        <f t="shared" si="25"/>
        <v>3397</v>
      </c>
      <c r="Q210" t="str">
        <f>IF(AND(--$C210&gt;=--Campaign_Metadata_clean!$B$2,--$C210&lt;=--Campaign_Metadata_clean!$C$2),"SummerBeats",
IF(AND(--$C210&gt;=--Campaign_Metadata_clean!$B$3,--$C210&lt;=--Campaign_Metadata_clean!$C$3),"Wrapped2024",
IF(AND(--$C210&gt;=--Campaign_Metadata_clean!$B$4,--$C210&lt;=--Campaign_Metadata_clean!$C$4),"ChillVibes",
IF(AND(--$C210&gt;=--Campaign_Metadata_clean!$B$5,--$C210&lt;=--Campaign_Metadata_clean!$C$5),"IndieWave","No Campaign"))))</f>
        <v>No Campaign</v>
      </c>
      <c r="R210" t="str">
        <f t="shared" si="26"/>
        <v>Before</v>
      </c>
      <c r="S210" t="str">
        <f t="shared" si="27"/>
        <v/>
      </c>
      <c r="X210" s="47" t="str">
        <f>IFERROR(
_xlfn.XLOOKUP(Q210,
Campaign_Metadata_clean!A:A,
Campaign_Metadata_clean!B:B),
"")</f>
        <v/>
      </c>
      <c r="Y210" s="47" t="str">
        <f>IFERROR(
_xlfn.XLOOKUP(Q210,
Campaign_Metadata_clean!A:A,
Campaign_Metadata_clean!C:C),
"")</f>
        <v/>
      </c>
      <c r="Z210">
        <f t="shared" si="29"/>
        <v>0</v>
      </c>
      <c r="AA210">
        <f t="shared" si="30"/>
        <v>0</v>
      </c>
      <c r="AB210">
        <f t="shared" si="31"/>
        <v>0</v>
      </c>
    </row>
    <row r="211" spans="1:28">
      <c r="A211" s="1" t="s">
        <v>250</v>
      </c>
      <c r="B211" s="1" t="s">
        <v>24</v>
      </c>
      <c r="C211" s="46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45</v>
      </c>
      <c r="M211" s="1" t="s">
        <v>42</v>
      </c>
      <c r="N211" s="13">
        <f t="shared" si="28"/>
        <v>3.4110398272247981E-2</v>
      </c>
      <c r="O211">
        <f t="shared" si="24"/>
        <v>291</v>
      </c>
      <c r="P211">
        <f t="shared" si="25"/>
        <v>1611</v>
      </c>
      <c r="Q211" t="str">
        <f>IF(AND(--$C211&gt;=--Campaign_Metadata_clean!$B$2,--$C211&lt;=--Campaign_Metadata_clean!$C$2),"SummerBeats",
IF(AND(--$C211&gt;=--Campaign_Metadata_clean!$B$3,--$C211&lt;=--Campaign_Metadata_clean!$C$3),"Wrapped2024",
IF(AND(--$C211&gt;=--Campaign_Metadata_clean!$B$4,--$C211&lt;=--Campaign_Metadata_clean!$C$4),"ChillVibes",
IF(AND(--$C211&gt;=--Campaign_Metadata_clean!$B$5,--$C211&lt;=--Campaign_Metadata_clean!$C$5),"IndieWave","No Campaign"))))</f>
        <v>No Campaign</v>
      </c>
      <c r="R211" t="str">
        <f t="shared" si="26"/>
        <v>Other</v>
      </c>
      <c r="S211" t="str">
        <f t="shared" si="27"/>
        <v/>
      </c>
      <c r="X211" s="47" t="str">
        <f>IFERROR(
_xlfn.XLOOKUP(Q211,
Campaign_Metadata_clean!A:A,
Campaign_Metadata_clean!B:B),
"")</f>
        <v/>
      </c>
      <c r="Y211" s="47" t="str">
        <f>IFERROR(
_xlfn.XLOOKUP(Q211,
Campaign_Metadata_clean!A:A,
Campaign_Metadata_clean!C:C),
"")</f>
        <v/>
      </c>
      <c r="Z211">
        <f t="shared" si="29"/>
        <v>0</v>
      </c>
      <c r="AA211">
        <f t="shared" si="30"/>
        <v>0</v>
      </c>
      <c r="AB211">
        <f t="shared" si="31"/>
        <v>0</v>
      </c>
    </row>
    <row r="212" spans="1:28">
      <c r="A212" s="1" t="s">
        <v>251</v>
      </c>
      <c r="B212" s="1" t="s">
        <v>24</v>
      </c>
      <c r="C212" s="46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21</v>
      </c>
      <c r="M212" s="1" t="s">
        <v>377</v>
      </c>
      <c r="N212" s="13">
        <f t="shared" si="28"/>
        <v>3.1623578076525334E-2</v>
      </c>
      <c r="O212">
        <f t="shared" si="24"/>
        <v>296</v>
      </c>
      <c r="P212">
        <f t="shared" si="25"/>
        <v>1529</v>
      </c>
      <c r="Q212" t="str">
        <f>IF(AND(--$C212&gt;=--Campaign_Metadata_clean!$B$2,--$C212&lt;=--Campaign_Metadata_clean!$C$2),"SummerBeats",
IF(AND(--$C212&gt;=--Campaign_Metadata_clean!$B$3,--$C212&lt;=--Campaign_Metadata_clean!$C$3),"Wrapped2024",
IF(AND(--$C212&gt;=--Campaign_Metadata_clean!$B$4,--$C212&lt;=--Campaign_Metadata_clean!$C$4),"ChillVibes",
IF(AND(--$C212&gt;=--Campaign_Metadata_clean!$B$5,--$C212&lt;=--Campaign_Metadata_clean!$C$5),"IndieWave","No Campaign"))))</f>
        <v>No Campaign</v>
      </c>
      <c r="R212" t="str">
        <f t="shared" si="26"/>
        <v>Before</v>
      </c>
      <c r="S212" t="str">
        <f t="shared" si="27"/>
        <v/>
      </c>
      <c r="X212" s="47" t="str">
        <f>IFERROR(
_xlfn.XLOOKUP(Q212,
Campaign_Metadata_clean!A:A,
Campaign_Metadata_clean!B:B),
"")</f>
        <v/>
      </c>
      <c r="Y212" s="47" t="str">
        <f>IFERROR(
_xlfn.XLOOKUP(Q212,
Campaign_Metadata_clean!A:A,
Campaign_Metadata_clean!C:C),
"")</f>
        <v/>
      </c>
      <c r="Z212">
        <f t="shared" si="29"/>
        <v>0</v>
      </c>
      <c r="AA212">
        <f t="shared" si="30"/>
        <v>0</v>
      </c>
      <c r="AB212">
        <f t="shared" si="31"/>
        <v>0</v>
      </c>
    </row>
    <row r="213" spans="1:28">
      <c r="A213" s="1" t="s">
        <v>252</v>
      </c>
      <c r="B213" s="1" t="s">
        <v>24</v>
      </c>
      <c r="C213" s="46">
        <v>45827</v>
      </c>
      <c r="D213" s="1" t="s">
        <v>25</v>
      </c>
      <c r="E213" s="1" t="s">
        <v>373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21</v>
      </c>
      <c r="M213" s="1" t="s">
        <v>377</v>
      </c>
      <c r="N213" s="13">
        <f t="shared" si="28"/>
        <v>4.0153279184466734E-2</v>
      </c>
      <c r="O213">
        <f t="shared" si="24"/>
        <v>275</v>
      </c>
      <c r="P213">
        <f t="shared" si="25"/>
        <v>2190</v>
      </c>
      <c r="Q213" t="str">
        <f>IF(AND(--$C213&gt;=--Campaign_Metadata_clean!$B$2,--$C213&lt;=--Campaign_Metadata_clean!$C$2),"SummerBeats",
IF(AND(--$C213&gt;=--Campaign_Metadata_clean!$B$3,--$C213&lt;=--Campaign_Metadata_clean!$C$3),"Wrapped2024",
IF(AND(--$C213&gt;=--Campaign_Metadata_clean!$B$4,--$C213&lt;=--Campaign_Metadata_clean!$C$4),"ChillVibes",
IF(AND(--$C213&gt;=--Campaign_Metadata_clean!$B$5,--$C213&lt;=--Campaign_Metadata_clean!$C$5),"IndieWave","No Campaign"))))</f>
        <v>No Campaign</v>
      </c>
      <c r="R213" t="str">
        <f t="shared" si="26"/>
        <v>Other</v>
      </c>
      <c r="S213" t="str">
        <f t="shared" si="27"/>
        <v/>
      </c>
      <c r="X213" s="47" t="str">
        <f>IFERROR(
_xlfn.XLOOKUP(Q213,
Campaign_Metadata_clean!A:A,
Campaign_Metadata_clean!B:B),
"")</f>
        <v/>
      </c>
      <c r="Y213" s="47" t="str">
        <f>IFERROR(
_xlfn.XLOOKUP(Q213,
Campaign_Metadata_clean!A:A,
Campaign_Metadata_clean!C:C),
"")</f>
        <v/>
      </c>
      <c r="Z213">
        <f t="shared" si="29"/>
        <v>0</v>
      </c>
      <c r="AA213">
        <f t="shared" si="30"/>
        <v>0</v>
      </c>
      <c r="AB213">
        <f t="shared" si="31"/>
        <v>0</v>
      </c>
    </row>
    <row r="214" spans="1:28">
      <c r="A214" s="1" t="s">
        <v>253</v>
      </c>
      <c r="B214" s="1" t="s">
        <v>14</v>
      </c>
      <c r="C214" s="46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/>
      <c r="N214" s="13">
        <f t="shared" si="28"/>
        <v>0.17995832544042431</v>
      </c>
      <c r="O214">
        <f t="shared" si="24"/>
        <v>12</v>
      </c>
      <c r="P214">
        <f t="shared" si="25"/>
        <v>5700</v>
      </c>
      <c r="Q214" t="str">
        <f>IF(AND(--$C214&gt;=--Campaign_Metadata_clean!$B$2,--$C214&lt;=--Campaign_Metadata_clean!$C$2),"SummerBeats",
IF(AND(--$C214&gt;=--Campaign_Metadata_clean!$B$3,--$C214&lt;=--Campaign_Metadata_clean!$C$3),"Wrapped2024",
IF(AND(--$C214&gt;=--Campaign_Metadata_clean!$B$4,--$C214&lt;=--Campaign_Metadata_clean!$C$4),"ChillVibes",
IF(AND(--$C214&gt;=--Campaign_Metadata_clean!$B$5,--$C214&lt;=--Campaign_Metadata_clean!$C$5),"IndieWave","No Campaign"))))</f>
        <v>No Campaign</v>
      </c>
      <c r="R214" t="str">
        <f t="shared" si="26"/>
        <v>Other</v>
      </c>
      <c r="S214" t="str">
        <f t="shared" si="27"/>
        <v/>
      </c>
      <c r="X214" s="47" t="str">
        <f>IFERROR(
_xlfn.XLOOKUP(Q214,
Campaign_Metadata_clean!A:A,
Campaign_Metadata_clean!B:B),
"")</f>
        <v/>
      </c>
      <c r="Y214" s="47" t="str">
        <f>IFERROR(
_xlfn.XLOOKUP(Q214,
Campaign_Metadata_clean!A:A,
Campaign_Metadata_clean!C:C),
"")</f>
        <v/>
      </c>
      <c r="Z214">
        <f t="shared" si="29"/>
        <v>0</v>
      </c>
      <c r="AA214">
        <f t="shared" si="30"/>
        <v>0</v>
      </c>
      <c r="AB214">
        <f t="shared" si="31"/>
        <v>0</v>
      </c>
    </row>
    <row r="215" spans="1:28">
      <c r="A215" s="1" t="s">
        <v>254</v>
      </c>
      <c r="B215" s="1" t="s">
        <v>24</v>
      </c>
      <c r="C215" s="46">
        <v>45574</v>
      </c>
      <c r="D215" s="1" t="s">
        <v>15</v>
      </c>
      <c r="E215" s="1" t="s">
        <v>376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/>
      <c r="N215" s="13">
        <f t="shared" si="28"/>
        <v>0.12555218709398008</v>
      </c>
      <c r="O215">
        <f t="shared" si="24"/>
        <v>60</v>
      </c>
      <c r="P215">
        <f t="shared" si="25"/>
        <v>2899</v>
      </c>
      <c r="Q215" t="str">
        <f>IF(AND(--$C215&gt;=--Campaign_Metadata_clean!$B$2,--$C215&lt;=--Campaign_Metadata_clean!$C$2),"SummerBeats",
IF(AND(--$C215&gt;=--Campaign_Metadata_clean!$B$3,--$C215&lt;=--Campaign_Metadata_clean!$C$3),"Wrapped2024",
IF(AND(--$C215&gt;=--Campaign_Metadata_clean!$B$4,--$C215&lt;=--Campaign_Metadata_clean!$C$4),"ChillVibes",
IF(AND(--$C215&gt;=--Campaign_Metadata_clean!$B$5,--$C215&lt;=--Campaign_Metadata_clean!$C$5),"IndieWave","No Campaign"))))</f>
        <v>No Campaign</v>
      </c>
      <c r="R215" t="str">
        <f t="shared" si="26"/>
        <v>Before</v>
      </c>
      <c r="S215" t="str">
        <f t="shared" si="27"/>
        <v/>
      </c>
      <c r="X215" s="47" t="str">
        <f>IFERROR(
_xlfn.XLOOKUP(Q215,
Campaign_Metadata_clean!A:A,
Campaign_Metadata_clean!B:B),
"")</f>
        <v/>
      </c>
      <c r="Y215" s="47" t="str">
        <f>IFERROR(
_xlfn.XLOOKUP(Q215,
Campaign_Metadata_clean!A:A,
Campaign_Metadata_clean!C:C),
"")</f>
        <v/>
      </c>
      <c r="Z215">
        <f t="shared" si="29"/>
        <v>0</v>
      </c>
      <c r="AA215">
        <f t="shared" si="30"/>
        <v>0</v>
      </c>
      <c r="AB215">
        <f t="shared" si="31"/>
        <v>0</v>
      </c>
    </row>
    <row r="216" spans="1:28">
      <c r="A216" s="1" t="s">
        <v>255</v>
      </c>
      <c r="B216" s="1" t="s">
        <v>31</v>
      </c>
      <c r="C216" s="46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21</v>
      </c>
      <c r="M216" s="1" t="s">
        <v>378</v>
      </c>
      <c r="N216" s="13">
        <f t="shared" si="28"/>
        <v>8.2744836775483013E-2</v>
      </c>
      <c r="O216">
        <f t="shared" si="24"/>
        <v>166</v>
      </c>
      <c r="P216">
        <f t="shared" si="25"/>
        <v>3105</v>
      </c>
      <c r="Q216" t="str">
        <f>IF(AND(--$C216&gt;=--Campaign_Metadata_clean!$B$2,--$C216&lt;=--Campaign_Metadata_clean!$C$2),"SummerBeats",
IF(AND(--$C216&gt;=--Campaign_Metadata_clean!$B$3,--$C216&lt;=--Campaign_Metadata_clean!$C$3),"Wrapped2024",
IF(AND(--$C216&gt;=--Campaign_Metadata_clean!$B$4,--$C216&lt;=--Campaign_Metadata_clean!$C$4),"ChillVibes",
IF(AND(--$C216&gt;=--Campaign_Metadata_clean!$B$5,--$C216&lt;=--Campaign_Metadata_clean!$C$5),"IndieWave","No Campaign"))))</f>
        <v>ChillVibes</v>
      </c>
      <c r="R216" t="str">
        <f t="shared" si="26"/>
        <v>During</v>
      </c>
      <c r="S216" t="str">
        <f t="shared" si="27"/>
        <v>During</v>
      </c>
      <c r="X216" s="47">
        <f>IFERROR(
_xlfn.XLOOKUP(Q216,
Campaign_Metadata_clean!A:A,
Campaign_Metadata_clean!B:B),
"")</f>
        <v>45667</v>
      </c>
      <c r="Y216" s="47">
        <f>IFERROR(
_xlfn.XLOOKUP(Q216,
Campaign_Metadata_clean!A:A,
Campaign_Metadata_clean!C:C),
"")</f>
        <v>45698</v>
      </c>
      <c r="Z216">
        <f t="shared" si="29"/>
        <v>0.10086311618757582</v>
      </c>
      <c r="AA216">
        <f t="shared" si="30"/>
        <v>0.10541160412718438</v>
      </c>
      <c r="AB216">
        <f t="shared" ca="1" si="31"/>
        <v>0</v>
      </c>
    </row>
    <row r="217" spans="1:28">
      <c r="A217" s="1" t="s">
        <v>256</v>
      </c>
      <c r="B217" s="1" t="s">
        <v>24</v>
      </c>
      <c r="C217" s="46">
        <v>45669</v>
      </c>
      <c r="D217" s="1" t="s">
        <v>15</v>
      </c>
      <c r="E217" s="1" t="s">
        <v>375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/>
      <c r="N217" s="13">
        <f t="shared" si="28"/>
        <v>5.2041730205988429E-2</v>
      </c>
      <c r="O217">
        <f t="shared" si="24"/>
        <v>248</v>
      </c>
      <c r="P217">
        <f t="shared" si="25"/>
        <v>2150</v>
      </c>
      <c r="Q217" t="str">
        <f>IF(AND(--$C217&gt;=--Campaign_Metadata_clean!$B$2,--$C217&lt;=--Campaign_Metadata_clean!$C$2),"SummerBeats",
IF(AND(--$C217&gt;=--Campaign_Metadata_clean!$B$3,--$C217&lt;=--Campaign_Metadata_clean!$C$3),"Wrapped2024",
IF(AND(--$C217&gt;=--Campaign_Metadata_clean!$B$4,--$C217&lt;=--Campaign_Metadata_clean!$C$4),"ChillVibes",
IF(AND(--$C217&gt;=--Campaign_Metadata_clean!$B$5,--$C217&lt;=--Campaign_Metadata_clean!$C$5),"IndieWave","No Campaign"))))</f>
        <v>ChillVibes</v>
      </c>
      <c r="R217" t="str">
        <f t="shared" si="26"/>
        <v>During</v>
      </c>
      <c r="S217" t="str">
        <f t="shared" si="27"/>
        <v>During</v>
      </c>
      <c r="X217" s="47">
        <f>IFERROR(
_xlfn.XLOOKUP(Q217,
Campaign_Metadata_clean!A:A,
Campaign_Metadata_clean!B:B),
"")</f>
        <v>45667</v>
      </c>
      <c r="Y217" s="47">
        <f>IFERROR(
_xlfn.XLOOKUP(Q217,
Campaign_Metadata_clean!A:A,
Campaign_Metadata_clean!C:C),
"")</f>
        <v>45698</v>
      </c>
      <c r="Z217">
        <f t="shared" si="29"/>
        <v>0.10086311618757582</v>
      </c>
      <c r="AA217">
        <f t="shared" si="30"/>
        <v>0.10541160412718438</v>
      </c>
      <c r="AB217">
        <f t="shared" ca="1" si="31"/>
        <v>0</v>
      </c>
    </row>
    <row r="218" spans="1:28">
      <c r="A218" s="1" t="s">
        <v>257</v>
      </c>
      <c r="B218" s="1" t="s">
        <v>14</v>
      </c>
      <c r="C218" s="46">
        <v>45808</v>
      </c>
      <c r="D218" s="1" t="s">
        <v>15</v>
      </c>
      <c r="E218" s="1" t="s">
        <v>373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45</v>
      </c>
      <c r="M218" s="1" t="s">
        <v>42</v>
      </c>
      <c r="N218" s="13">
        <f t="shared" si="28"/>
        <v>9.4450189589796618E-2</v>
      </c>
      <c r="O218">
        <f t="shared" si="24"/>
        <v>122</v>
      </c>
      <c r="P218">
        <f t="shared" si="25"/>
        <v>2466</v>
      </c>
      <c r="Q218" t="str">
        <f>IF(AND(--$C218&gt;=--Campaign_Metadata_clean!$B$2,--$C218&lt;=--Campaign_Metadata_clean!$C$2),"SummerBeats",
IF(AND(--$C218&gt;=--Campaign_Metadata_clean!$B$3,--$C218&lt;=--Campaign_Metadata_clean!$C$3),"Wrapped2024",
IF(AND(--$C218&gt;=--Campaign_Metadata_clean!$B$4,--$C218&lt;=--Campaign_Metadata_clean!$C$4),"ChillVibes",
IF(AND(--$C218&gt;=--Campaign_Metadata_clean!$B$5,--$C218&lt;=--Campaign_Metadata_clean!$C$5),"IndieWave","No Campaign"))))</f>
        <v>No Campaign</v>
      </c>
      <c r="R218" t="str">
        <f t="shared" si="26"/>
        <v>Other</v>
      </c>
      <c r="S218" t="str">
        <f t="shared" si="27"/>
        <v/>
      </c>
      <c r="X218" s="47" t="str">
        <f>IFERROR(
_xlfn.XLOOKUP(Q218,
Campaign_Metadata_clean!A:A,
Campaign_Metadata_clean!B:B),
"")</f>
        <v/>
      </c>
      <c r="Y218" s="47" t="str">
        <f>IFERROR(
_xlfn.XLOOKUP(Q218,
Campaign_Metadata_clean!A:A,
Campaign_Metadata_clean!C:C),
"")</f>
        <v/>
      </c>
      <c r="Z218">
        <f t="shared" si="29"/>
        <v>0</v>
      </c>
      <c r="AA218">
        <f t="shared" si="30"/>
        <v>0</v>
      </c>
      <c r="AB218">
        <f t="shared" si="31"/>
        <v>0</v>
      </c>
    </row>
    <row r="219" spans="1:28">
      <c r="A219" s="1" t="s">
        <v>258</v>
      </c>
      <c r="B219" s="1" t="s">
        <v>24</v>
      </c>
      <c r="C219" s="46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21</v>
      </c>
      <c r="M219" s="1" t="s">
        <v>377</v>
      </c>
      <c r="N219" s="13">
        <f t="shared" si="28"/>
        <v>0.12409349336702463</v>
      </c>
      <c r="O219">
        <f t="shared" si="24"/>
        <v>61</v>
      </c>
      <c r="P219">
        <f t="shared" si="25"/>
        <v>4911</v>
      </c>
      <c r="Q219" t="str">
        <f>IF(AND(--$C219&gt;=--Campaign_Metadata_clean!$B$2,--$C219&lt;=--Campaign_Metadata_clean!$C$2),"SummerBeats",
IF(AND(--$C219&gt;=--Campaign_Metadata_clean!$B$3,--$C219&lt;=--Campaign_Metadata_clean!$C$3),"Wrapped2024",
IF(AND(--$C219&gt;=--Campaign_Metadata_clean!$B$4,--$C219&lt;=--Campaign_Metadata_clean!$C$4),"ChillVibes",
IF(AND(--$C219&gt;=--Campaign_Metadata_clean!$B$5,--$C219&lt;=--Campaign_Metadata_clean!$C$5),"IndieWave","No Campaign"))))</f>
        <v>No Campaign</v>
      </c>
      <c r="R219" t="str">
        <f t="shared" si="26"/>
        <v>Before</v>
      </c>
      <c r="S219" t="str">
        <f t="shared" si="27"/>
        <v/>
      </c>
      <c r="X219" s="47" t="str">
        <f>IFERROR(
_xlfn.XLOOKUP(Q219,
Campaign_Metadata_clean!A:A,
Campaign_Metadata_clean!B:B),
"")</f>
        <v/>
      </c>
      <c r="Y219" s="47" t="str">
        <f>IFERROR(
_xlfn.XLOOKUP(Q219,
Campaign_Metadata_clean!A:A,
Campaign_Metadata_clean!C:C),
"")</f>
        <v/>
      </c>
      <c r="Z219">
        <f t="shared" si="29"/>
        <v>0</v>
      </c>
      <c r="AA219">
        <f t="shared" si="30"/>
        <v>0</v>
      </c>
      <c r="AB219">
        <f t="shared" si="31"/>
        <v>0</v>
      </c>
    </row>
    <row r="220" spans="1:28">
      <c r="A220" s="1" t="s">
        <v>259</v>
      </c>
      <c r="B220" s="1" t="s">
        <v>24</v>
      </c>
      <c r="C220" s="46">
        <v>45332</v>
      </c>
      <c r="D220" s="1" t="s">
        <v>15</v>
      </c>
      <c r="E220" s="1" t="s">
        <v>374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/>
      <c r="N220" s="13">
        <f t="shared" si="28"/>
        <v>4.5610431884675749E-2</v>
      </c>
      <c r="O220">
        <f t="shared" si="24"/>
        <v>264</v>
      </c>
      <c r="P220">
        <f t="shared" si="25"/>
        <v>2354</v>
      </c>
      <c r="Q220" t="str">
        <f>IF(AND(--$C220&gt;=--Campaign_Metadata_clean!$B$2,--$C220&lt;=--Campaign_Metadata_clean!$C$2),"SummerBeats",
IF(AND(--$C220&gt;=--Campaign_Metadata_clean!$B$3,--$C220&lt;=--Campaign_Metadata_clean!$C$3),"Wrapped2024",
IF(AND(--$C220&gt;=--Campaign_Metadata_clean!$B$4,--$C220&lt;=--Campaign_Metadata_clean!$C$4),"ChillVibes",
IF(AND(--$C220&gt;=--Campaign_Metadata_clean!$B$5,--$C220&lt;=--Campaign_Metadata_clean!$C$5),"IndieWave","No Campaign"))))</f>
        <v>No Campaign</v>
      </c>
      <c r="R220" t="str">
        <f t="shared" si="26"/>
        <v>Before</v>
      </c>
      <c r="S220" t="str">
        <f t="shared" si="27"/>
        <v/>
      </c>
      <c r="X220" s="47" t="str">
        <f>IFERROR(
_xlfn.XLOOKUP(Q220,
Campaign_Metadata_clean!A:A,
Campaign_Metadata_clean!B:B),
"")</f>
        <v/>
      </c>
      <c r="Y220" s="47" t="str">
        <f>IFERROR(
_xlfn.XLOOKUP(Q220,
Campaign_Metadata_clean!A:A,
Campaign_Metadata_clean!C:C),
"")</f>
        <v/>
      </c>
      <c r="Z220">
        <f t="shared" si="29"/>
        <v>0</v>
      </c>
      <c r="AA220">
        <f t="shared" si="30"/>
        <v>0</v>
      </c>
      <c r="AB220">
        <f t="shared" si="31"/>
        <v>0</v>
      </c>
    </row>
    <row r="221" spans="1:28">
      <c r="A221" s="1" t="s">
        <v>260</v>
      </c>
      <c r="B221" s="1" t="s">
        <v>31</v>
      </c>
      <c r="C221" s="46">
        <v>45636</v>
      </c>
      <c r="D221" s="1" t="s">
        <v>15</v>
      </c>
      <c r="E221" s="1" t="s">
        <v>373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21</v>
      </c>
      <c r="M221" s="1" t="s">
        <v>378</v>
      </c>
      <c r="N221" s="13">
        <f t="shared" si="28"/>
        <v>8.0371103929948923E-2</v>
      </c>
      <c r="O221">
        <f t="shared" si="24"/>
        <v>177</v>
      </c>
      <c r="P221">
        <f t="shared" si="25"/>
        <v>3084</v>
      </c>
      <c r="Q221" t="str">
        <f>IF(AND(--$C221&gt;=--Campaign_Metadata_clean!$B$2,--$C221&lt;=--Campaign_Metadata_clean!$C$2),"SummerBeats",
IF(AND(--$C221&gt;=--Campaign_Metadata_clean!$B$3,--$C221&lt;=--Campaign_Metadata_clean!$C$3),"Wrapped2024",
IF(AND(--$C221&gt;=--Campaign_Metadata_clean!$B$4,--$C221&lt;=--Campaign_Metadata_clean!$C$4),"ChillVibes",
IF(AND(--$C221&gt;=--Campaign_Metadata_clean!$B$5,--$C221&lt;=--Campaign_Metadata_clean!$C$5),"IndieWave","No Campaign"))))</f>
        <v>Wrapped2024</v>
      </c>
      <c r="R221" t="str">
        <f t="shared" si="26"/>
        <v>Before</v>
      </c>
      <c r="S221" t="str">
        <f t="shared" si="27"/>
        <v>During</v>
      </c>
      <c r="X221" s="47">
        <f>IFERROR(
_xlfn.XLOOKUP(Q221,
Campaign_Metadata_clean!A:A,
Campaign_Metadata_clean!B:B),
"")</f>
        <v>45627</v>
      </c>
      <c r="Y221" s="47">
        <f>IFERROR(
_xlfn.XLOOKUP(Q221,
Campaign_Metadata_clean!A:A,
Campaign_Metadata_clean!C:C),
"")</f>
        <v>45657</v>
      </c>
      <c r="Z221">
        <f t="shared" si="29"/>
        <v>9.2680818872661358E-2</v>
      </c>
      <c r="AA221">
        <f t="shared" si="30"/>
        <v>9.9294724623054248E-2</v>
      </c>
      <c r="AB221">
        <f t="shared" ca="1" si="31"/>
        <v>0</v>
      </c>
    </row>
    <row r="222" spans="1:28">
      <c r="A222" s="1" t="s">
        <v>261</v>
      </c>
      <c r="B222" s="1" t="s">
        <v>24</v>
      </c>
      <c r="C222" s="46">
        <v>45786</v>
      </c>
      <c r="D222" s="1" t="s">
        <v>25</v>
      </c>
      <c r="E222" s="1" t="s">
        <v>375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377</v>
      </c>
      <c r="M222" s="1" t="s">
        <v>42</v>
      </c>
      <c r="N222" s="13">
        <f t="shared" si="28"/>
        <v>0.1271002400274317</v>
      </c>
      <c r="O222">
        <f t="shared" si="24"/>
        <v>59</v>
      </c>
      <c r="P222">
        <f t="shared" si="25"/>
        <v>3336</v>
      </c>
      <c r="Q222" t="str">
        <f>IF(AND(--$C222&gt;=--Campaign_Metadata_clean!$B$2,--$C222&lt;=--Campaign_Metadata_clean!$C$2),"SummerBeats",
IF(AND(--$C222&gt;=--Campaign_Metadata_clean!$B$3,--$C222&lt;=--Campaign_Metadata_clean!$C$3),"Wrapped2024",
IF(AND(--$C222&gt;=--Campaign_Metadata_clean!$B$4,--$C222&lt;=--Campaign_Metadata_clean!$C$4),"ChillVibes",
IF(AND(--$C222&gt;=--Campaign_Metadata_clean!$B$5,--$C222&lt;=--Campaign_Metadata_clean!$C$5),"IndieWave","No Campaign"))))</f>
        <v>No Campaign</v>
      </c>
      <c r="R222" t="str">
        <f t="shared" si="26"/>
        <v>Other</v>
      </c>
      <c r="S222" t="str">
        <f t="shared" si="27"/>
        <v/>
      </c>
      <c r="X222" s="47" t="str">
        <f>IFERROR(
_xlfn.XLOOKUP(Q222,
Campaign_Metadata_clean!A:A,
Campaign_Metadata_clean!B:B),
"")</f>
        <v/>
      </c>
      <c r="Y222" s="47" t="str">
        <f>IFERROR(
_xlfn.XLOOKUP(Q222,
Campaign_Metadata_clean!A:A,
Campaign_Metadata_clean!C:C),
"")</f>
        <v/>
      </c>
      <c r="Z222">
        <f t="shared" si="29"/>
        <v>0</v>
      </c>
      <c r="AA222">
        <f t="shared" si="30"/>
        <v>0</v>
      </c>
      <c r="AB222">
        <f t="shared" si="31"/>
        <v>0</v>
      </c>
    </row>
    <row r="223" spans="1:28">
      <c r="A223" s="1" t="s">
        <v>262</v>
      </c>
      <c r="B223" s="1" t="s">
        <v>24</v>
      </c>
      <c r="C223" s="46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/>
      <c r="N223" s="13">
        <f t="shared" si="28"/>
        <v>8.6602037169406718E-2</v>
      </c>
      <c r="O223">
        <f t="shared" si="24"/>
        <v>148</v>
      </c>
      <c r="P223">
        <f t="shared" si="25"/>
        <v>3877</v>
      </c>
      <c r="Q223" t="str">
        <f>IF(AND(--$C223&gt;=--Campaign_Metadata_clean!$B$2,--$C223&lt;=--Campaign_Metadata_clean!$C$2),"SummerBeats",
IF(AND(--$C223&gt;=--Campaign_Metadata_clean!$B$3,--$C223&lt;=--Campaign_Metadata_clean!$C$3),"Wrapped2024",
IF(AND(--$C223&gt;=--Campaign_Metadata_clean!$B$4,--$C223&lt;=--Campaign_Metadata_clean!$C$4),"ChillVibes",
IF(AND(--$C223&gt;=--Campaign_Metadata_clean!$B$5,--$C223&lt;=--Campaign_Metadata_clean!$C$5),"IndieWave","No Campaign"))))</f>
        <v>No Campaign</v>
      </c>
      <c r="R223" t="str">
        <f t="shared" si="26"/>
        <v>Other</v>
      </c>
      <c r="S223" t="str">
        <f t="shared" si="27"/>
        <v/>
      </c>
      <c r="X223" s="47" t="str">
        <f>IFERROR(
_xlfn.XLOOKUP(Q223,
Campaign_Metadata_clean!A:A,
Campaign_Metadata_clean!B:B),
"")</f>
        <v/>
      </c>
      <c r="Y223" s="47" t="str">
        <f>IFERROR(
_xlfn.XLOOKUP(Q223,
Campaign_Metadata_clean!A:A,
Campaign_Metadata_clean!C:C),
"")</f>
        <v/>
      </c>
      <c r="Z223">
        <f t="shared" si="29"/>
        <v>0</v>
      </c>
      <c r="AA223">
        <f t="shared" si="30"/>
        <v>0</v>
      </c>
      <c r="AB223">
        <f t="shared" si="31"/>
        <v>0</v>
      </c>
    </row>
    <row r="224" spans="1:28">
      <c r="A224" s="1" t="s">
        <v>263</v>
      </c>
      <c r="B224" s="1" t="s">
        <v>24</v>
      </c>
      <c r="C224" s="46">
        <v>45462</v>
      </c>
      <c r="D224" s="1" t="s">
        <v>15</v>
      </c>
      <c r="E224" s="1" t="s">
        <v>373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/>
      <c r="N224" s="13">
        <f t="shared" si="28"/>
        <v>2.9336922849977874E-2</v>
      </c>
      <c r="O224">
        <f t="shared" si="24"/>
        <v>297</v>
      </c>
      <c r="P224">
        <f t="shared" si="25"/>
        <v>1591</v>
      </c>
      <c r="Q224" t="str">
        <f>IF(AND(--$C224&gt;=--Campaign_Metadata_clean!$B$2,--$C224&lt;=--Campaign_Metadata_clean!$C$2),"SummerBeats",
IF(AND(--$C224&gt;=--Campaign_Metadata_clean!$B$3,--$C224&lt;=--Campaign_Metadata_clean!$C$3),"Wrapped2024",
IF(AND(--$C224&gt;=--Campaign_Metadata_clean!$B$4,--$C224&lt;=--Campaign_Metadata_clean!$C$4),"ChillVibes",
IF(AND(--$C224&gt;=--Campaign_Metadata_clean!$B$5,--$C224&lt;=--Campaign_Metadata_clean!$C$5),"IndieWave","No Campaign"))))</f>
        <v>SummerBeats</v>
      </c>
      <c r="R224" t="str">
        <f t="shared" si="26"/>
        <v>Before</v>
      </c>
      <c r="S224" t="str">
        <f t="shared" si="27"/>
        <v>During</v>
      </c>
      <c r="X224" s="47">
        <f>IFERROR(
_xlfn.XLOOKUP(Q224,
Campaign_Metadata_clean!A:A,
Campaign_Metadata_clean!B:B),
"")</f>
        <v>45458</v>
      </c>
      <c r="Y224" s="47">
        <f>IFERROR(
_xlfn.XLOOKUP(Q224,
Campaign_Metadata_clean!A:A,
Campaign_Metadata_clean!C:C),
"")</f>
        <v>45488</v>
      </c>
      <c r="Z224">
        <f t="shared" si="29"/>
        <v>7.7477551774674469E-2</v>
      </c>
      <c r="AA224">
        <f t="shared" si="30"/>
        <v>9.67495057607137E-2</v>
      </c>
      <c r="AB224">
        <f t="shared" ca="1" si="31"/>
        <v>0</v>
      </c>
    </row>
    <row r="225" spans="1:28">
      <c r="A225" s="1" t="s">
        <v>264</v>
      </c>
      <c r="B225" s="1" t="s">
        <v>24</v>
      </c>
      <c r="C225" s="46">
        <v>45636</v>
      </c>
      <c r="D225" s="1" t="s">
        <v>15</v>
      </c>
      <c r="E225" s="1" t="s">
        <v>374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/>
      <c r="N225" s="13">
        <f t="shared" si="28"/>
        <v>0.11126822801590809</v>
      </c>
      <c r="O225">
        <f t="shared" si="24"/>
        <v>78</v>
      </c>
      <c r="P225">
        <f t="shared" si="25"/>
        <v>5036</v>
      </c>
      <c r="Q225" t="str">
        <f>IF(AND(--$C225&gt;=--Campaign_Metadata_clean!$B$2,--$C225&lt;=--Campaign_Metadata_clean!$C$2),"SummerBeats",
IF(AND(--$C225&gt;=--Campaign_Metadata_clean!$B$3,--$C225&lt;=--Campaign_Metadata_clean!$C$3),"Wrapped2024",
IF(AND(--$C225&gt;=--Campaign_Metadata_clean!$B$4,--$C225&lt;=--Campaign_Metadata_clean!$C$4),"ChillVibes",
IF(AND(--$C225&gt;=--Campaign_Metadata_clean!$B$5,--$C225&lt;=--Campaign_Metadata_clean!$C$5),"IndieWave","No Campaign"))))</f>
        <v>Wrapped2024</v>
      </c>
      <c r="R225" t="str">
        <f t="shared" si="26"/>
        <v>Before</v>
      </c>
      <c r="S225" t="str">
        <f t="shared" si="27"/>
        <v>During</v>
      </c>
      <c r="X225" s="47">
        <f>IFERROR(
_xlfn.XLOOKUP(Q225,
Campaign_Metadata_clean!A:A,
Campaign_Metadata_clean!B:B),
"")</f>
        <v>45627</v>
      </c>
      <c r="Y225" s="47">
        <f>IFERROR(
_xlfn.XLOOKUP(Q225,
Campaign_Metadata_clean!A:A,
Campaign_Metadata_clean!C:C),
"")</f>
        <v>45657</v>
      </c>
      <c r="Z225">
        <f t="shared" si="29"/>
        <v>9.2680818872661358E-2</v>
      </c>
      <c r="AA225">
        <f t="shared" si="30"/>
        <v>9.9294724623054248E-2</v>
      </c>
      <c r="AB225">
        <f t="shared" ca="1" si="31"/>
        <v>0</v>
      </c>
    </row>
    <row r="226" spans="1:28">
      <c r="A226" s="1" t="s">
        <v>265</v>
      </c>
      <c r="B226" s="1" t="s">
        <v>31</v>
      </c>
      <c r="C226" s="46">
        <v>45323</v>
      </c>
      <c r="D226" s="1" t="s">
        <v>15</v>
      </c>
      <c r="E226" s="1" t="s">
        <v>376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21</v>
      </c>
      <c r="M226" s="1" t="s">
        <v>378</v>
      </c>
      <c r="N226" s="13">
        <f t="shared" si="28"/>
        <v>5.2566815966924252E-2</v>
      </c>
      <c r="O226">
        <f t="shared" si="24"/>
        <v>244</v>
      </c>
      <c r="P226">
        <f t="shared" si="25"/>
        <v>2136</v>
      </c>
      <c r="Q226" t="str">
        <f>IF(AND(--$C226&gt;=--Campaign_Metadata_clean!$B$2,--$C226&lt;=--Campaign_Metadata_clean!$C$2),"SummerBeats",
IF(AND(--$C226&gt;=--Campaign_Metadata_clean!$B$3,--$C226&lt;=--Campaign_Metadata_clean!$C$3),"Wrapped2024",
IF(AND(--$C226&gt;=--Campaign_Metadata_clean!$B$4,--$C226&lt;=--Campaign_Metadata_clean!$C$4),"ChillVibes",
IF(AND(--$C226&gt;=--Campaign_Metadata_clean!$B$5,--$C226&lt;=--Campaign_Metadata_clean!$C$5),"IndieWave","No Campaign"))))</f>
        <v>No Campaign</v>
      </c>
      <c r="R226" t="str">
        <f t="shared" si="26"/>
        <v>Before</v>
      </c>
      <c r="S226" t="str">
        <f t="shared" si="27"/>
        <v/>
      </c>
      <c r="X226" s="47" t="str">
        <f>IFERROR(
_xlfn.XLOOKUP(Q226,
Campaign_Metadata_clean!A:A,
Campaign_Metadata_clean!B:B),
"")</f>
        <v/>
      </c>
      <c r="Y226" s="47" t="str">
        <f>IFERROR(
_xlfn.XLOOKUP(Q226,
Campaign_Metadata_clean!A:A,
Campaign_Metadata_clean!C:C),
"")</f>
        <v/>
      </c>
      <c r="Z226">
        <f t="shared" si="29"/>
        <v>0</v>
      </c>
      <c r="AA226">
        <f t="shared" si="30"/>
        <v>0</v>
      </c>
      <c r="AB226">
        <f t="shared" si="31"/>
        <v>0</v>
      </c>
    </row>
    <row r="227" spans="1:28">
      <c r="A227" s="1" t="s">
        <v>266</v>
      </c>
      <c r="B227" s="1" t="s">
        <v>24</v>
      </c>
      <c r="C227" s="46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377</v>
      </c>
      <c r="M227" s="1" t="s">
        <v>42</v>
      </c>
      <c r="N227" s="13">
        <f t="shared" si="28"/>
        <v>5.2513742764570971E-2</v>
      </c>
      <c r="O227">
        <f t="shared" si="24"/>
        <v>245</v>
      </c>
      <c r="P227">
        <f t="shared" si="25"/>
        <v>2885</v>
      </c>
      <c r="Q227" t="str">
        <f>IF(AND(--$C227&gt;=--Campaign_Metadata_clean!$B$2,--$C227&lt;=--Campaign_Metadata_clean!$C$2),"SummerBeats",
IF(AND(--$C227&gt;=--Campaign_Metadata_clean!$B$3,--$C227&lt;=--Campaign_Metadata_clean!$C$3),"Wrapped2024",
IF(AND(--$C227&gt;=--Campaign_Metadata_clean!$B$4,--$C227&lt;=--Campaign_Metadata_clean!$C$4),"ChillVibes",
IF(AND(--$C227&gt;=--Campaign_Metadata_clean!$B$5,--$C227&lt;=--Campaign_Metadata_clean!$C$5),"IndieWave","No Campaign"))))</f>
        <v>No Campaign</v>
      </c>
      <c r="R227" t="str">
        <f t="shared" si="26"/>
        <v>Before</v>
      </c>
      <c r="S227" t="str">
        <f t="shared" si="27"/>
        <v/>
      </c>
      <c r="X227" s="47" t="str">
        <f>IFERROR(
_xlfn.XLOOKUP(Q227,
Campaign_Metadata_clean!A:A,
Campaign_Metadata_clean!B:B),
"")</f>
        <v/>
      </c>
      <c r="Y227" s="47" t="str">
        <f>IFERROR(
_xlfn.XLOOKUP(Q227,
Campaign_Metadata_clean!A:A,
Campaign_Metadata_clean!C:C),
"")</f>
        <v/>
      </c>
      <c r="Z227">
        <f t="shared" si="29"/>
        <v>0</v>
      </c>
      <c r="AA227">
        <f t="shared" si="30"/>
        <v>0</v>
      </c>
      <c r="AB227">
        <f t="shared" si="31"/>
        <v>0</v>
      </c>
    </row>
    <row r="228" spans="1:28">
      <c r="A228" s="1" t="s">
        <v>267</v>
      </c>
      <c r="B228" s="1" t="s">
        <v>31</v>
      </c>
      <c r="C228" s="46">
        <v>45738</v>
      </c>
      <c r="D228" s="1" t="s">
        <v>15</v>
      </c>
      <c r="E228" s="1" t="s">
        <v>375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21</v>
      </c>
      <c r="M228" s="1" t="s">
        <v>378</v>
      </c>
      <c r="N228" s="13">
        <f t="shared" si="28"/>
        <v>0.12406981463942633</v>
      </c>
      <c r="O228">
        <f t="shared" si="24"/>
        <v>62</v>
      </c>
      <c r="P228">
        <f t="shared" si="25"/>
        <v>4585</v>
      </c>
      <c r="Q228" t="str">
        <f>IF(AND(--$C228&gt;=--Campaign_Metadata_clean!$B$2,--$C228&lt;=--Campaign_Metadata_clean!$C$2),"SummerBeats",
IF(AND(--$C228&gt;=--Campaign_Metadata_clean!$B$3,--$C228&lt;=--Campaign_Metadata_clean!$C$3),"Wrapped2024",
IF(AND(--$C228&gt;=--Campaign_Metadata_clean!$B$4,--$C228&lt;=--Campaign_Metadata_clean!$C$4),"ChillVibes",
IF(AND(--$C228&gt;=--Campaign_Metadata_clean!$B$5,--$C228&lt;=--Campaign_Metadata_clean!$C$5),"IndieWave","No Campaign"))))</f>
        <v>IndieWave</v>
      </c>
      <c r="R228" t="str">
        <f t="shared" si="26"/>
        <v>Other</v>
      </c>
      <c r="S228" t="str">
        <f t="shared" si="27"/>
        <v>During</v>
      </c>
      <c r="X228" s="47">
        <f>IFERROR(
_xlfn.XLOOKUP(Q228,
Campaign_Metadata_clean!A:A,
Campaign_Metadata_clean!B:B),
"")</f>
        <v>45717</v>
      </c>
      <c r="Y228" s="47">
        <f>IFERROR(
_xlfn.XLOOKUP(Q228,
Campaign_Metadata_clean!A:A,
Campaign_Metadata_clean!C:C),
"")</f>
        <v>45747</v>
      </c>
      <c r="Z228">
        <f t="shared" si="29"/>
        <v>0.11058335030833821</v>
      </c>
      <c r="AA228">
        <f t="shared" si="30"/>
        <v>0.10264545756473814</v>
      </c>
      <c r="AB228">
        <f t="shared" ca="1" si="31"/>
        <v>0</v>
      </c>
    </row>
    <row r="229" spans="1:28">
      <c r="A229" s="1" t="s">
        <v>268</v>
      </c>
      <c r="B229" s="1" t="s">
        <v>31</v>
      </c>
      <c r="C229" s="46">
        <v>45442</v>
      </c>
      <c r="D229" s="1" t="s">
        <v>57</v>
      </c>
      <c r="E229" s="1" t="s">
        <v>373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21</v>
      </c>
      <c r="M229" s="1" t="s">
        <v>45</v>
      </c>
      <c r="N229" s="13">
        <f t="shared" si="28"/>
        <v>3.1839004091338254E-2</v>
      </c>
      <c r="O229">
        <f t="shared" si="24"/>
        <v>295</v>
      </c>
      <c r="P229">
        <f t="shared" si="25"/>
        <v>1821</v>
      </c>
      <c r="Q229" t="str">
        <f>IF(AND(--$C229&gt;=--Campaign_Metadata_clean!$B$2,--$C229&lt;=--Campaign_Metadata_clean!$C$2),"SummerBeats",
IF(AND(--$C229&gt;=--Campaign_Metadata_clean!$B$3,--$C229&lt;=--Campaign_Metadata_clean!$C$3),"Wrapped2024",
IF(AND(--$C229&gt;=--Campaign_Metadata_clean!$B$4,--$C229&lt;=--Campaign_Metadata_clean!$C$4),"ChillVibes",
IF(AND(--$C229&gt;=--Campaign_Metadata_clean!$B$5,--$C229&lt;=--Campaign_Metadata_clean!$C$5),"IndieWave","No Campaign"))))</f>
        <v>No Campaign</v>
      </c>
      <c r="R229" t="str">
        <f t="shared" si="26"/>
        <v>Before</v>
      </c>
      <c r="S229" t="str">
        <f t="shared" si="27"/>
        <v/>
      </c>
      <c r="X229" s="47" t="str">
        <f>IFERROR(
_xlfn.XLOOKUP(Q229,
Campaign_Metadata_clean!A:A,
Campaign_Metadata_clean!B:B),
"")</f>
        <v/>
      </c>
      <c r="Y229" s="47" t="str">
        <f>IFERROR(
_xlfn.XLOOKUP(Q229,
Campaign_Metadata_clean!A:A,
Campaign_Metadata_clean!C:C),
"")</f>
        <v/>
      </c>
      <c r="Z229">
        <f t="shared" si="29"/>
        <v>0</v>
      </c>
      <c r="AA229">
        <f t="shared" si="30"/>
        <v>0</v>
      </c>
      <c r="AB229">
        <f t="shared" si="31"/>
        <v>0</v>
      </c>
    </row>
    <row r="230" spans="1:28">
      <c r="A230" s="1" t="s">
        <v>269</v>
      </c>
      <c r="B230" s="1" t="s">
        <v>31</v>
      </c>
      <c r="C230" s="46">
        <v>45346</v>
      </c>
      <c r="D230" s="1" t="s">
        <v>15</v>
      </c>
      <c r="E230" s="1" t="s">
        <v>375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21</v>
      </c>
      <c r="M230" s="1" t="s">
        <v>378</v>
      </c>
      <c r="N230" s="13">
        <f t="shared" si="28"/>
        <v>9.191926295801392E-2</v>
      </c>
      <c r="O230">
        <f t="shared" si="24"/>
        <v>136</v>
      </c>
      <c r="P230">
        <f t="shared" si="25"/>
        <v>5228</v>
      </c>
      <c r="Q230" t="str">
        <f>IF(AND(--$C230&gt;=--Campaign_Metadata_clean!$B$2,--$C230&lt;=--Campaign_Metadata_clean!$C$2),"SummerBeats",
IF(AND(--$C230&gt;=--Campaign_Metadata_clean!$B$3,--$C230&lt;=--Campaign_Metadata_clean!$C$3),"Wrapped2024",
IF(AND(--$C230&gt;=--Campaign_Metadata_clean!$B$4,--$C230&lt;=--Campaign_Metadata_clean!$C$4),"ChillVibes",
IF(AND(--$C230&gt;=--Campaign_Metadata_clean!$B$5,--$C230&lt;=--Campaign_Metadata_clean!$C$5),"IndieWave","No Campaign"))))</f>
        <v>No Campaign</v>
      </c>
      <c r="R230" t="str">
        <f t="shared" si="26"/>
        <v>Before</v>
      </c>
      <c r="S230" t="str">
        <f t="shared" si="27"/>
        <v/>
      </c>
      <c r="X230" s="47" t="str">
        <f>IFERROR(
_xlfn.XLOOKUP(Q230,
Campaign_Metadata_clean!A:A,
Campaign_Metadata_clean!B:B),
"")</f>
        <v/>
      </c>
      <c r="Y230" s="47" t="str">
        <f>IFERROR(
_xlfn.XLOOKUP(Q230,
Campaign_Metadata_clean!A:A,
Campaign_Metadata_clean!C:C),
"")</f>
        <v/>
      </c>
      <c r="Z230">
        <f t="shared" si="29"/>
        <v>0</v>
      </c>
      <c r="AA230">
        <f t="shared" si="30"/>
        <v>0</v>
      </c>
      <c r="AB230">
        <f t="shared" si="31"/>
        <v>0</v>
      </c>
    </row>
    <row r="231" spans="1:28">
      <c r="A231" s="1" t="s">
        <v>270</v>
      </c>
      <c r="B231" s="1" t="s">
        <v>31</v>
      </c>
      <c r="C231" s="46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21</v>
      </c>
      <c r="M231" s="1" t="s">
        <v>378</v>
      </c>
      <c r="N231" s="13">
        <f t="shared" si="28"/>
        <v>4.9646286003031836E-2</v>
      </c>
      <c r="O231">
        <f t="shared" si="24"/>
        <v>257</v>
      </c>
      <c r="P231">
        <f t="shared" si="25"/>
        <v>2358</v>
      </c>
      <c r="Q231" t="str">
        <f>IF(AND(--$C231&gt;=--Campaign_Metadata_clean!$B$2,--$C231&lt;=--Campaign_Metadata_clean!$C$2),"SummerBeats",
IF(AND(--$C231&gt;=--Campaign_Metadata_clean!$B$3,--$C231&lt;=--Campaign_Metadata_clean!$C$3),"Wrapped2024",
IF(AND(--$C231&gt;=--Campaign_Metadata_clean!$B$4,--$C231&lt;=--Campaign_Metadata_clean!$C$4),"ChillVibes",
IF(AND(--$C231&gt;=--Campaign_Metadata_clean!$B$5,--$C231&lt;=--Campaign_Metadata_clean!$C$5),"IndieWave","No Campaign"))))</f>
        <v>No Campaign</v>
      </c>
      <c r="R231" t="str">
        <f t="shared" si="26"/>
        <v>Other</v>
      </c>
      <c r="S231" t="str">
        <f t="shared" si="27"/>
        <v/>
      </c>
      <c r="X231" s="47" t="str">
        <f>IFERROR(
_xlfn.XLOOKUP(Q231,
Campaign_Metadata_clean!A:A,
Campaign_Metadata_clean!B:B),
"")</f>
        <v/>
      </c>
      <c r="Y231" s="47" t="str">
        <f>IFERROR(
_xlfn.XLOOKUP(Q231,
Campaign_Metadata_clean!A:A,
Campaign_Metadata_clean!C:C),
"")</f>
        <v/>
      </c>
      <c r="Z231">
        <f t="shared" si="29"/>
        <v>0</v>
      </c>
      <c r="AA231">
        <f t="shared" si="30"/>
        <v>0</v>
      </c>
      <c r="AB231">
        <f t="shared" si="31"/>
        <v>0</v>
      </c>
    </row>
    <row r="232" spans="1:28">
      <c r="A232" s="1" t="s">
        <v>271</v>
      </c>
      <c r="B232" s="1" t="s">
        <v>14</v>
      </c>
      <c r="C232" s="46">
        <v>45379</v>
      </c>
      <c r="D232" s="1" t="s">
        <v>15</v>
      </c>
      <c r="E232" s="1" t="s">
        <v>373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45</v>
      </c>
      <c r="M232" s="1" t="s">
        <v>42</v>
      </c>
      <c r="N232" s="13">
        <f t="shared" si="28"/>
        <v>6.76784936509532E-2</v>
      </c>
      <c r="O232">
        <f t="shared" si="24"/>
        <v>207</v>
      </c>
      <c r="P232">
        <f t="shared" si="25"/>
        <v>2020</v>
      </c>
      <c r="Q232" t="str">
        <f>IF(AND(--$C232&gt;=--Campaign_Metadata_clean!$B$2,--$C232&lt;=--Campaign_Metadata_clean!$C$2),"SummerBeats",
IF(AND(--$C232&gt;=--Campaign_Metadata_clean!$B$3,--$C232&lt;=--Campaign_Metadata_clean!$C$3),"Wrapped2024",
IF(AND(--$C232&gt;=--Campaign_Metadata_clean!$B$4,--$C232&lt;=--Campaign_Metadata_clean!$C$4),"ChillVibes",
IF(AND(--$C232&gt;=--Campaign_Metadata_clean!$B$5,--$C232&lt;=--Campaign_Metadata_clean!$C$5),"IndieWave","No Campaign"))))</f>
        <v>No Campaign</v>
      </c>
      <c r="R232" t="str">
        <f t="shared" si="26"/>
        <v>Before</v>
      </c>
      <c r="S232" t="str">
        <f t="shared" si="27"/>
        <v/>
      </c>
      <c r="X232" s="47" t="str">
        <f>IFERROR(
_xlfn.XLOOKUP(Q232,
Campaign_Metadata_clean!A:A,
Campaign_Metadata_clean!B:B),
"")</f>
        <v/>
      </c>
      <c r="Y232" s="47" t="str">
        <f>IFERROR(
_xlfn.XLOOKUP(Q232,
Campaign_Metadata_clean!A:A,
Campaign_Metadata_clean!C:C),
"")</f>
        <v/>
      </c>
      <c r="Z232">
        <f t="shared" si="29"/>
        <v>0</v>
      </c>
      <c r="AA232">
        <f t="shared" si="30"/>
        <v>0</v>
      </c>
      <c r="AB232">
        <f t="shared" si="31"/>
        <v>0</v>
      </c>
    </row>
    <row r="233" spans="1:28">
      <c r="A233" s="1" t="s">
        <v>272</v>
      </c>
      <c r="B233" s="1" t="s">
        <v>31</v>
      </c>
      <c r="C233" s="46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21</v>
      </c>
      <c r="M233" s="1" t="s">
        <v>378</v>
      </c>
      <c r="N233" s="13">
        <f t="shared" si="28"/>
        <v>0.10985069273191947</v>
      </c>
      <c r="O233">
        <f t="shared" si="24"/>
        <v>84</v>
      </c>
      <c r="P233">
        <f t="shared" si="25"/>
        <v>4900</v>
      </c>
      <c r="Q233" t="str">
        <f>IF(AND(--$C233&gt;=--Campaign_Metadata_clean!$B$2,--$C233&lt;=--Campaign_Metadata_clean!$C$2),"SummerBeats",
IF(AND(--$C233&gt;=--Campaign_Metadata_clean!$B$3,--$C233&lt;=--Campaign_Metadata_clean!$C$3),"Wrapped2024",
IF(AND(--$C233&gt;=--Campaign_Metadata_clean!$B$4,--$C233&lt;=--Campaign_Metadata_clean!$C$4),"ChillVibes",
IF(AND(--$C233&gt;=--Campaign_Metadata_clean!$B$5,--$C233&lt;=--Campaign_Metadata_clean!$C$5),"IndieWave","No Campaign"))))</f>
        <v>IndieWave</v>
      </c>
      <c r="R233" t="str">
        <f t="shared" si="26"/>
        <v>Other</v>
      </c>
      <c r="S233" t="str">
        <f t="shared" si="27"/>
        <v>During</v>
      </c>
      <c r="X233" s="47">
        <f>IFERROR(
_xlfn.XLOOKUP(Q233,
Campaign_Metadata_clean!A:A,
Campaign_Metadata_clean!B:B),
"")</f>
        <v>45717</v>
      </c>
      <c r="Y233" s="47">
        <f>IFERROR(
_xlfn.XLOOKUP(Q233,
Campaign_Metadata_clean!A:A,
Campaign_Metadata_clean!C:C),
"")</f>
        <v>45747</v>
      </c>
      <c r="Z233">
        <f t="shared" si="29"/>
        <v>0.11058335030833821</v>
      </c>
      <c r="AA233">
        <f t="shared" si="30"/>
        <v>0.10264545756473814</v>
      </c>
      <c r="AB233">
        <f t="shared" ca="1" si="31"/>
        <v>0</v>
      </c>
    </row>
    <row r="234" spans="1:28">
      <c r="A234" s="1" t="s">
        <v>273</v>
      </c>
      <c r="B234" s="1" t="s">
        <v>24</v>
      </c>
      <c r="C234" s="46">
        <v>45585</v>
      </c>
      <c r="D234" s="1" t="s">
        <v>15</v>
      </c>
      <c r="E234" s="1" t="s">
        <v>374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/>
      <c r="N234" s="13">
        <f t="shared" si="28"/>
        <v>8.0741841282852611E-2</v>
      </c>
      <c r="O234">
        <f t="shared" si="24"/>
        <v>175</v>
      </c>
      <c r="P234">
        <f t="shared" si="25"/>
        <v>3152</v>
      </c>
      <c r="Q234" t="str">
        <f>IF(AND(--$C234&gt;=--Campaign_Metadata_clean!$B$2,--$C234&lt;=--Campaign_Metadata_clean!$C$2),"SummerBeats",
IF(AND(--$C234&gt;=--Campaign_Metadata_clean!$B$3,--$C234&lt;=--Campaign_Metadata_clean!$C$3),"Wrapped2024",
IF(AND(--$C234&gt;=--Campaign_Metadata_clean!$B$4,--$C234&lt;=--Campaign_Metadata_clean!$C$4),"ChillVibes",
IF(AND(--$C234&gt;=--Campaign_Metadata_clean!$B$5,--$C234&lt;=--Campaign_Metadata_clean!$C$5),"IndieWave","No Campaign"))))</f>
        <v>No Campaign</v>
      </c>
      <c r="R234" t="str">
        <f t="shared" si="26"/>
        <v>Before</v>
      </c>
      <c r="S234" t="str">
        <f t="shared" si="27"/>
        <v/>
      </c>
      <c r="X234" s="47" t="str">
        <f>IFERROR(
_xlfn.XLOOKUP(Q234,
Campaign_Metadata_clean!A:A,
Campaign_Metadata_clean!B:B),
"")</f>
        <v/>
      </c>
      <c r="Y234" s="47" t="str">
        <f>IFERROR(
_xlfn.XLOOKUP(Q234,
Campaign_Metadata_clean!A:A,
Campaign_Metadata_clean!C:C),
"")</f>
        <v/>
      </c>
      <c r="Z234">
        <f t="shared" si="29"/>
        <v>0</v>
      </c>
      <c r="AA234">
        <f t="shared" si="30"/>
        <v>0</v>
      </c>
      <c r="AB234">
        <f t="shared" si="31"/>
        <v>0</v>
      </c>
    </row>
    <row r="235" spans="1:28">
      <c r="A235" s="1" t="s">
        <v>274</v>
      </c>
      <c r="B235" s="1" t="s">
        <v>24</v>
      </c>
      <c r="C235" s="46">
        <v>45324</v>
      </c>
      <c r="D235" s="1" t="s">
        <v>15</v>
      </c>
      <c r="E235" s="1" t="s">
        <v>374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/>
      <c r="N235" s="13">
        <f t="shared" si="28"/>
        <v>0.16790703227603773</v>
      </c>
      <c r="O235">
        <f t="shared" si="24"/>
        <v>18</v>
      </c>
      <c r="P235">
        <f t="shared" si="25"/>
        <v>4219</v>
      </c>
      <c r="Q235" t="str">
        <f>IF(AND(--$C235&gt;=--Campaign_Metadata_clean!$B$2,--$C235&lt;=--Campaign_Metadata_clean!$C$2),"SummerBeats",
IF(AND(--$C235&gt;=--Campaign_Metadata_clean!$B$3,--$C235&lt;=--Campaign_Metadata_clean!$C$3),"Wrapped2024",
IF(AND(--$C235&gt;=--Campaign_Metadata_clean!$B$4,--$C235&lt;=--Campaign_Metadata_clean!$C$4),"ChillVibes",
IF(AND(--$C235&gt;=--Campaign_Metadata_clean!$B$5,--$C235&lt;=--Campaign_Metadata_clean!$C$5),"IndieWave","No Campaign"))))</f>
        <v>No Campaign</v>
      </c>
      <c r="R235" t="str">
        <f t="shared" si="26"/>
        <v>Before</v>
      </c>
      <c r="S235" t="str">
        <f t="shared" si="27"/>
        <v/>
      </c>
      <c r="X235" s="47" t="str">
        <f>IFERROR(
_xlfn.XLOOKUP(Q235,
Campaign_Metadata_clean!A:A,
Campaign_Metadata_clean!B:B),
"")</f>
        <v/>
      </c>
      <c r="Y235" s="47" t="str">
        <f>IFERROR(
_xlfn.XLOOKUP(Q235,
Campaign_Metadata_clean!A:A,
Campaign_Metadata_clean!C:C),
"")</f>
        <v/>
      </c>
      <c r="Z235">
        <f t="shared" si="29"/>
        <v>0</v>
      </c>
      <c r="AA235">
        <f t="shared" si="30"/>
        <v>0</v>
      </c>
      <c r="AB235">
        <f t="shared" si="31"/>
        <v>0</v>
      </c>
    </row>
    <row r="236" spans="1:28">
      <c r="A236" s="1" t="s">
        <v>275</v>
      </c>
      <c r="B236" s="1" t="s">
        <v>31</v>
      </c>
      <c r="C236" s="46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21</v>
      </c>
      <c r="M236" s="1" t="s">
        <v>378</v>
      </c>
      <c r="N236" s="13">
        <f t="shared" si="28"/>
        <v>6.4655069273288512E-2</v>
      </c>
      <c r="O236">
        <f t="shared" si="24"/>
        <v>212</v>
      </c>
      <c r="P236">
        <f t="shared" si="25"/>
        <v>2702</v>
      </c>
      <c r="Q236" t="str">
        <f>IF(AND(--$C236&gt;=--Campaign_Metadata_clean!$B$2,--$C236&lt;=--Campaign_Metadata_clean!$C$2),"SummerBeats",
IF(AND(--$C236&gt;=--Campaign_Metadata_clean!$B$3,--$C236&lt;=--Campaign_Metadata_clean!$C$3),"Wrapped2024",
IF(AND(--$C236&gt;=--Campaign_Metadata_clean!$B$4,--$C236&lt;=--Campaign_Metadata_clean!$C$4),"ChillVibes",
IF(AND(--$C236&gt;=--Campaign_Metadata_clean!$B$5,--$C236&lt;=--Campaign_Metadata_clean!$C$5),"IndieWave","No Campaign"))))</f>
        <v>No Campaign</v>
      </c>
      <c r="R236" t="str">
        <f t="shared" si="26"/>
        <v>Before</v>
      </c>
      <c r="S236" t="str">
        <f t="shared" si="27"/>
        <v/>
      </c>
      <c r="X236" s="47" t="str">
        <f>IFERROR(
_xlfn.XLOOKUP(Q236,
Campaign_Metadata_clean!A:A,
Campaign_Metadata_clean!B:B),
"")</f>
        <v/>
      </c>
      <c r="Y236" s="47" t="str">
        <f>IFERROR(
_xlfn.XLOOKUP(Q236,
Campaign_Metadata_clean!A:A,
Campaign_Metadata_clean!C:C),
"")</f>
        <v/>
      </c>
      <c r="Z236">
        <f t="shared" si="29"/>
        <v>0</v>
      </c>
      <c r="AA236">
        <f t="shared" si="30"/>
        <v>0</v>
      </c>
      <c r="AB236">
        <f t="shared" si="31"/>
        <v>0</v>
      </c>
    </row>
    <row r="237" spans="1:28">
      <c r="A237" s="1" t="s">
        <v>276</v>
      </c>
      <c r="B237" s="1" t="s">
        <v>14</v>
      </c>
      <c r="C237" s="46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/>
      <c r="N237" s="13">
        <f t="shared" si="28"/>
        <v>8.1666436749896543E-2</v>
      </c>
      <c r="O237">
        <f t="shared" si="24"/>
        <v>170</v>
      </c>
      <c r="P237">
        <f t="shared" si="25"/>
        <v>2960</v>
      </c>
      <c r="Q237" t="str">
        <f>IF(AND(--$C237&gt;=--Campaign_Metadata_clean!$B$2,--$C237&lt;=--Campaign_Metadata_clean!$C$2),"SummerBeats",
IF(AND(--$C237&gt;=--Campaign_Metadata_clean!$B$3,--$C237&lt;=--Campaign_Metadata_clean!$C$3),"Wrapped2024",
IF(AND(--$C237&gt;=--Campaign_Metadata_clean!$B$4,--$C237&lt;=--Campaign_Metadata_clean!$C$4),"ChillVibes",
IF(AND(--$C237&gt;=--Campaign_Metadata_clean!$B$5,--$C237&lt;=--Campaign_Metadata_clean!$C$5),"IndieWave","No Campaign"))))</f>
        <v>Wrapped2024</v>
      </c>
      <c r="R237" t="str">
        <f t="shared" si="26"/>
        <v>Before</v>
      </c>
      <c r="S237" t="str">
        <f t="shared" si="27"/>
        <v>During</v>
      </c>
      <c r="X237" s="47">
        <f>IFERROR(
_xlfn.XLOOKUP(Q237,
Campaign_Metadata_clean!A:A,
Campaign_Metadata_clean!B:B),
"")</f>
        <v>45627</v>
      </c>
      <c r="Y237" s="47">
        <f>IFERROR(
_xlfn.XLOOKUP(Q237,
Campaign_Metadata_clean!A:A,
Campaign_Metadata_clean!C:C),
"")</f>
        <v>45657</v>
      </c>
      <c r="Z237">
        <f t="shared" si="29"/>
        <v>9.2680818872661358E-2</v>
      </c>
      <c r="AA237">
        <f t="shared" si="30"/>
        <v>9.9294724623054248E-2</v>
      </c>
      <c r="AB237">
        <f t="shared" ca="1" si="31"/>
        <v>0</v>
      </c>
    </row>
    <row r="238" spans="1:28">
      <c r="A238" s="1" t="s">
        <v>277</v>
      </c>
      <c r="B238" s="1" t="s">
        <v>31</v>
      </c>
      <c r="C238" s="46">
        <v>45305</v>
      </c>
      <c r="D238" s="1" t="s">
        <v>15</v>
      </c>
      <c r="E238" s="1" t="s">
        <v>373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21</v>
      </c>
      <c r="M238" s="1" t="s">
        <v>378</v>
      </c>
      <c r="N238" s="13">
        <f t="shared" si="28"/>
        <v>0.13077197816215114</v>
      </c>
      <c r="O238">
        <f t="shared" si="24"/>
        <v>55</v>
      </c>
      <c r="P238">
        <f t="shared" si="25"/>
        <v>5126</v>
      </c>
      <c r="Q238" t="str">
        <f>IF(AND(--$C238&gt;=--Campaign_Metadata_clean!$B$2,--$C238&lt;=--Campaign_Metadata_clean!$C$2),"SummerBeats",
IF(AND(--$C238&gt;=--Campaign_Metadata_clean!$B$3,--$C238&lt;=--Campaign_Metadata_clean!$C$3),"Wrapped2024",
IF(AND(--$C238&gt;=--Campaign_Metadata_clean!$B$4,--$C238&lt;=--Campaign_Metadata_clean!$C$4),"ChillVibes",
IF(AND(--$C238&gt;=--Campaign_Metadata_clean!$B$5,--$C238&lt;=--Campaign_Metadata_clean!$C$5),"IndieWave","No Campaign"))))</f>
        <v>No Campaign</v>
      </c>
      <c r="R238" t="str">
        <f t="shared" si="26"/>
        <v>Before</v>
      </c>
      <c r="S238" t="str">
        <f t="shared" si="27"/>
        <v/>
      </c>
      <c r="X238" s="47" t="str">
        <f>IFERROR(
_xlfn.XLOOKUP(Q238,
Campaign_Metadata_clean!A:A,
Campaign_Metadata_clean!B:B),
"")</f>
        <v/>
      </c>
      <c r="Y238" s="47" t="str">
        <f>IFERROR(
_xlfn.XLOOKUP(Q238,
Campaign_Metadata_clean!A:A,
Campaign_Metadata_clean!C:C),
"")</f>
        <v/>
      </c>
      <c r="Z238">
        <f t="shared" si="29"/>
        <v>0</v>
      </c>
      <c r="AA238">
        <f t="shared" si="30"/>
        <v>0</v>
      </c>
      <c r="AB238">
        <f t="shared" si="31"/>
        <v>0</v>
      </c>
    </row>
    <row r="239" spans="1:28">
      <c r="A239" s="1" t="s">
        <v>278</v>
      </c>
      <c r="B239" s="1" t="s">
        <v>14</v>
      </c>
      <c r="C239" s="46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45</v>
      </c>
      <c r="M239" s="1" t="s">
        <v>42</v>
      </c>
      <c r="N239" s="13">
        <f t="shared" si="28"/>
        <v>5.3094209744904843E-2</v>
      </c>
      <c r="O239">
        <f t="shared" si="24"/>
        <v>242</v>
      </c>
      <c r="P239">
        <f t="shared" si="25"/>
        <v>3147</v>
      </c>
      <c r="Q239" t="str">
        <f>IF(AND(--$C239&gt;=--Campaign_Metadata_clean!$B$2,--$C239&lt;=--Campaign_Metadata_clean!$C$2),"SummerBeats",
IF(AND(--$C239&gt;=--Campaign_Metadata_clean!$B$3,--$C239&lt;=--Campaign_Metadata_clean!$C$3),"Wrapped2024",
IF(AND(--$C239&gt;=--Campaign_Metadata_clean!$B$4,--$C239&lt;=--Campaign_Metadata_clean!$C$4),"ChillVibes",
IF(AND(--$C239&gt;=--Campaign_Metadata_clean!$B$5,--$C239&lt;=--Campaign_Metadata_clean!$C$5),"IndieWave","No Campaign"))))</f>
        <v>No Campaign</v>
      </c>
      <c r="R239" t="str">
        <f t="shared" si="26"/>
        <v>Other</v>
      </c>
      <c r="S239" t="str">
        <f t="shared" si="27"/>
        <v/>
      </c>
      <c r="X239" s="47" t="str">
        <f>IFERROR(
_xlfn.XLOOKUP(Q239,
Campaign_Metadata_clean!A:A,
Campaign_Metadata_clean!B:B),
"")</f>
        <v/>
      </c>
      <c r="Y239" s="47" t="str">
        <f>IFERROR(
_xlfn.XLOOKUP(Q239,
Campaign_Metadata_clean!A:A,
Campaign_Metadata_clean!C:C),
"")</f>
        <v/>
      </c>
      <c r="Z239">
        <f t="shared" si="29"/>
        <v>0</v>
      </c>
      <c r="AA239">
        <f t="shared" si="30"/>
        <v>0</v>
      </c>
      <c r="AB239">
        <f t="shared" si="31"/>
        <v>0</v>
      </c>
    </row>
    <row r="240" spans="1:28">
      <c r="A240" s="1" t="s">
        <v>279</v>
      </c>
      <c r="B240" s="1" t="s">
        <v>24</v>
      </c>
      <c r="C240" s="46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377</v>
      </c>
      <c r="M240" s="1" t="s">
        <v>42</v>
      </c>
      <c r="N240" s="13">
        <f t="shared" si="28"/>
        <v>0.17088145896656534</v>
      </c>
      <c r="O240">
        <f t="shared" si="24"/>
        <v>17</v>
      </c>
      <c r="P240">
        <f t="shared" si="25"/>
        <v>5622</v>
      </c>
      <c r="Q240" t="str">
        <f>IF(AND(--$C240&gt;=--Campaign_Metadata_clean!$B$2,--$C240&lt;=--Campaign_Metadata_clean!$C$2),"SummerBeats",
IF(AND(--$C240&gt;=--Campaign_Metadata_clean!$B$3,--$C240&lt;=--Campaign_Metadata_clean!$C$3),"Wrapped2024",
IF(AND(--$C240&gt;=--Campaign_Metadata_clean!$B$4,--$C240&lt;=--Campaign_Metadata_clean!$C$4),"ChillVibes",
IF(AND(--$C240&gt;=--Campaign_Metadata_clean!$B$5,--$C240&lt;=--Campaign_Metadata_clean!$C$5),"IndieWave","No Campaign"))))</f>
        <v>Wrapped2024</v>
      </c>
      <c r="R240" t="str">
        <f t="shared" si="26"/>
        <v>Before</v>
      </c>
      <c r="S240" t="str">
        <f t="shared" si="27"/>
        <v>During</v>
      </c>
      <c r="X240" s="47">
        <f>IFERROR(
_xlfn.XLOOKUP(Q240,
Campaign_Metadata_clean!A:A,
Campaign_Metadata_clean!B:B),
"")</f>
        <v>45627</v>
      </c>
      <c r="Y240" s="47">
        <f>IFERROR(
_xlfn.XLOOKUP(Q240,
Campaign_Metadata_clean!A:A,
Campaign_Metadata_clean!C:C),
"")</f>
        <v>45657</v>
      </c>
      <c r="Z240">
        <f t="shared" si="29"/>
        <v>9.2680818872661358E-2</v>
      </c>
      <c r="AA240">
        <f t="shared" si="30"/>
        <v>9.9294724623054248E-2</v>
      </c>
      <c r="AB240">
        <f t="shared" ca="1" si="31"/>
        <v>0</v>
      </c>
    </row>
    <row r="241" spans="1:28">
      <c r="A241" s="1" t="s">
        <v>280</v>
      </c>
      <c r="B241" s="1" t="s">
        <v>31</v>
      </c>
      <c r="C241" s="46">
        <v>45533</v>
      </c>
      <c r="D241" s="1" t="s">
        <v>15</v>
      </c>
      <c r="E241" s="1" t="s">
        <v>376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21</v>
      </c>
      <c r="M241" s="1" t="s">
        <v>378</v>
      </c>
      <c r="N241" s="13">
        <f t="shared" si="28"/>
        <v>0.10547128720437092</v>
      </c>
      <c r="O241">
        <f t="shared" si="24"/>
        <v>97</v>
      </c>
      <c r="P241">
        <f t="shared" si="25"/>
        <v>5521</v>
      </c>
      <c r="Q241" t="str">
        <f>IF(AND(--$C241&gt;=--Campaign_Metadata_clean!$B$2,--$C241&lt;=--Campaign_Metadata_clean!$C$2),"SummerBeats",
IF(AND(--$C241&gt;=--Campaign_Metadata_clean!$B$3,--$C241&lt;=--Campaign_Metadata_clean!$C$3),"Wrapped2024",
IF(AND(--$C241&gt;=--Campaign_Metadata_clean!$B$4,--$C241&lt;=--Campaign_Metadata_clean!$C$4),"ChillVibes",
IF(AND(--$C241&gt;=--Campaign_Metadata_clean!$B$5,--$C241&lt;=--Campaign_Metadata_clean!$C$5),"IndieWave","No Campaign"))))</f>
        <v>No Campaign</v>
      </c>
      <c r="R241" t="str">
        <f t="shared" si="26"/>
        <v>Before</v>
      </c>
      <c r="S241" t="str">
        <f t="shared" si="27"/>
        <v/>
      </c>
      <c r="X241" s="47" t="str">
        <f>IFERROR(
_xlfn.XLOOKUP(Q241,
Campaign_Metadata_clean!A:A,
Campaign_Metadata_clean!B:B),
"")</f>
        <v/>
      </c>
      <c r="Y241" s="47" t="str">
        <f>IFERROR(
_xlfn.XLOOKUP(Q241,
Campaign_Metadata_clean!A:A,
Campaign_Metadata_clean!C:C),
"")</f>
        <v/>
      </c>
      <c r="Z241">
        <f t="shared" si="29"/>
        <v>0</v>
      </c>
      <c r="AA241">
        <f t="shared" si="30"/>
        <v>0</v>
      </c>
      <c r="AB241">
        <f t="shared" si="31"/>
        <v>0</v>
      </c>
    </row>
    <row r="242" spans="1:28">
      <c r="A242" s="1" t="s">
        <v>281</v>
      </c>
      <c r="B242" s="1" t="s">
        <v>24</v>
      </c>
      <c r="C242" s="46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/>
      <c r="N242" s="13">
        <f t="shared" si="28"/>
        <v>4.819683813738912E-2</v>
      </c>
      <c r="O242">
        <f t="shared" si="24"/>
        <v>258</v>
      </c>
      <c r="P242">
        <f t="shared" si="25"/>
        <v>2570</v>
      </c>
      <c r="Q242" t="str">
        <f>IF(AND(--$C242&gt;=--Campaign_Metadata_clean!$B$2,--$C242&lt;=--Campaign_Metadata_clean!$C$2),"SummerBeats",
IF(AND(--$C242&gt;=--Campaign_Metadata_clean!$B$3,--$C242&lt;=--Campaign_Metadata_clean!$C$3),"Wrapped2024",
IF(AND(--$C242&gt;=--Campaign_Metadata_clean!$B$4,--$C242&lt;=--Campaign_Metadata_clean!$C$4),"ChillVibes",
IF(AND(--$C242&gt;=--Campaign_Metadata_clean!$B$5,--$C242&lt;=--Campaign_Metadata_clean!$C$5),"IndieWave","No Campaign"))))</f>
        <v>No Campaign</v>
      </c>
      <c r="R242" t="str">
        <f t="shared" si="26"/>
        <v>Before</v>
      </c>
      <c r="S242" t="str">
        <f t="shared" si="27"/>
        <v/>
      </c>
      <c r="X242" s="47" t="str">
        <f>IFERROR(
_xlfn.XLOOKUP(Q242,
Campaign_Metadata_clean!A:A,
Campaign_Metadata_clean!B:B),
"")</f>
        <v/>
      </c>
      <c r="Y242" s="47" t="str">
        <f>IFERROR(
_xlfn.XLOOKUP(Q242,
Campaign_Metadata_clean!A:A,
Campaign_Metadata_clean!C:C),
"")</f>
        <v/>
      </c>
      <c r="Z242">
        <f t="shared" si="29"/>
        <v>0</v>
      </c>
      <c r="AA242">
        <f t="shared" si="30"/>
        <v>0</v>
      </c>
      <c r="AB242">
        <f t="shared" si="31"/>
        <v>0</v>
      </c>
    </row>
    <row r="243" spans="1:28">
      <c r="A243" s="1" t="s">
        <v>282</v>
      </c>
      <c r="B243" s="1" t="s">
        <v>24</v>
      </c>
      <c r="C243" s="46">
        <v>45759</v>
      </c>
      <c r="D243" s="1" t="s">
        <v>25</v>
      </c>
      <c r="E243" s="1" t="s">
        <v>374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21</v>
      </c>
      <c r="M243" s="1" t="s">
        <v>377</v>
      </c>
      <c r="N243" s="13">
        <f t="shared" si="28"/>
        <v>0.13404136389044158</v>
      </c>
      <c r="O243">
        <f t="shared" si="24"/>
        <v>52</v>
      </c>
      <c r="P243">
        <f t="shared" si="25"/>
        <v>4796</v>
      </c>
      <c r="Q243" t="str">
        <f>IF(AND(--$C243&gt;=--Campaign_Metadata_clean!$B$2,--$C243&lt;=--Campaign_Metadata_clean!$C$2),"SummerBeats",
IF(AND(--$C243&gt;=--Campaign_Metadata_clean!$B$3,--$C243&lt;=--Campaign_Metadata_clean!$C$3),"Wrapped2024",
IF(AND(--$C243&gt;=--Campaign_Metadata_clean!$B$4,--$C243&lt;=--Campaign_Metadata_clean!$C$4),"ChillVibes",
IF(AND(--$C243&gt;=--Campaign_Metadata_clean!$B$5,--$C243&lt;=--Campaign_Metadata_clean!$C$5),"IndieWave","No Campaign"))))</f>
        <v>No Campaign</v>
      </c>
      <c r="R243" t="str">
        <f t="shared" si="26"/>
        <v>Other</v>
      </c>
      <c r="S243" t="str">
        <f t="shared" si="27"/>
        <v/>
      </c>
      <c r="X243" s="47" t="str">
        <f>IFERROR(
_xlfn.XLOOKUP(Q243,
Campaign_Metadata_clean!A:A,
Campaign_Metadata_clean!B:B),
"")</f>
        <v/>
      </c>
      <c r="Y243" s="47" t="str">
        <f>IFERROR(
_xlfn.XLOOKUP(Q243,
Campaign_Metadata_clean!A:A,
Campaign_Metadata_clean!C:C),
"")</f>
        <v/>
      </c>
      <c r="Z243">
        <f t="shared" si="29"/>
        <v>0</v>
      </c>
      <c r="AA243">
        <f t="shared" si="30"/>
        <v>0</v>
      </c>
      <c r="AB243">
        <f t="shared" si="31"/>
        <v>0</v>
      </c>
    </row>
    <row r="244" spans="1:28">
      <c r="A244" s="1" t="s">
        <v>283</v>
      </c>
      <c r="B244" s="1" t="s">
        <v>24</v>
      </c>
      <c r="C244" s="46">
        <v>45636</v>
      </c>
      <c r="D244" s="1" t="s">
        <v>25</v>
      </c>
      <c r="E244" s="1" t="s">
        <v>376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21</v>
      </c>
      <c r="M244" s="1" t="s">
        <v>377</v>
      </c>
      <c r="N244" s="13">
        <f t="shared" si="28"/>
        <v>9.8193807339449546E-2</v>
      </c>
      <c r="O244">
        <f t="shared" si="24"/>
        <v>112</v>
      </c>
      <c r="P244">
        <f t="shared" si="25"/>
        <v>2740</v>
      </c>
      <c r="Q244" t="str">
        <f>IF(AND(--$C244&gt;=--Campaign_Metadata_clean!$B$2,--$C244&lt;=--Campaign_Metadata_clean!$C$2),"SummerBeats",
IF(AND(--$C244&gt;=--Campaign_Metadata_clean!$B$3,--$C244&lt;=--Campaign_Metadata_clean!$C$3),"Wrapped2024",
IF(AND(--$C244&gt;=--Campaign_Metadata_clean!$B$4,--$C244&lt;=--Campaign_Metadata_clean!$C$4),"ChillVibes",
IF(AND(--$C244&gt;=--Campaign_Metadata_clean!$B$5,--$C244&lt;=--Campaign_Metadata_clean!$C$5),"IndieWave","No Campaign"))))</f>
        <v>Wrapped2024</v>
      </c>
      <c r="R244" t="str">
        <f t="shared" si="26"/>
        <v>Before</v>
      </c>
      <c r="S244" t="str">
        <f t="shared" si="27"/>
        <v>During</v>
      </c>
      <c r="X244" s="47">
        <f>IFERROR(
_xlfn.XLOOKUP(Q244,
Campaign_Metadata_clean!A:A,
Campaign_Metadata_clean!B:B),
"")</f>
        <v>45627</v>
      </c>
      <c r="Y244" s="47">
        <f>IFERROR(
_xlfn.XLOOKUP(Q244,
Campaign_Metadata_clean!A:A,
Campaign_Metadata_clean!C:C),
"")</f>
        <v>45657</v>
      </c>
      <c r="Z244">
        <f t="shared" si="29"/>
        <v>9.2680818872661358E-2</v>
      </c>
      <c r="AA244">
        <f t="shared" si="30"/>
        <v>9.9294724623054248E-2</v>
      </c>
      <c r="AB244">
        <f t="shared" ca="1" si="31"/>
        <v>0</v>
      </c>
    </row>
    <row r="245" spans="1:28">
      <c r="A245" s="1" t="s">
        <v>284</v>
      </c>
      <c r="B245" s="1" t="s">
        <v>31</v>
      </c>
      <c r="C245" s="46">
        <v>45816</v>
      </c>
      <c r="D245" s="1" t="s">
        <v>15</v>
      </c>
      <c r="E245" s="1" t="s">
        <v>375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21</v>
      </c>
      <c r="M245" s="1" t="s">
        <v>378</v>
      </c>
      <c r="N245" s="13">
        <f t="shared" si="28"/>
        <v>8.6517714206166912E-2</v>
      </c>
      <c r="O245">
        <f t="shared" si="24"/>
        <v>150</v>
      </c>
      <c r="P245">
        <f t="shared" si="25"/>
        <v>4972</v>
      </c>
      <c r="Q245" t="str">
        <f>IF(AND(--$C245&gt;=--Campaign_Metadata_clean!$B$2,--$C245&lt;=--Campaign_Metadata_clean!$C$2),"SummerBeats",
IF(AND(--$C245&gt;=--Campaign_Metadata_clean!$B$3,--$C245&lt;=--Campaign_Metadata_clean!$C$3),"Wrapped2024",
IF(AND(--$C245&gt;=--Campaign_Metadata_clean!$B$4,--$C245&lt;=--Campaign_Metadata_clean!$C$4),"ChillVibes",
IF(AND(--$C245&gt;=--Campaign_Metadata_clean!$B$5,--$C245&lt;=--Campaign_Metadata_clean!$C$5),"IndieWave","No Campaign"))))</f>
        <v>No Campaign</v>
      </c>
      <c r="R245" t="str">
        <f t="shared" si="26"/>
        <v>Other</v>
      </c>
      <c r="S245" t="str">
        <f t="shared" si="27"/>
        <v/>
      </c>
      <c r="X245" s="47" t="str">
        <f>IFERROR(
_xlfn.XLOOKUP(Q245,
Campaign_Metadata_clean!A:A,
Campaign_Metadata_clean!B:B),
"")</f>
        <v/>
      </c>
      <c r="Y245" s="47" t="str">
        <f>IFERROR(
_xlfn.XLOOKUP(Q245,
Campaign_Metadata_clean!A:A,
Campaign_Metadata_clean!C:C),
"")</f>
        <v/>
      </c>
      <c r="Z245">
        <f t="shared" si="29"/>
        <v>0</v>
      </c>
      <c r="AA245">
        <f t="shared" si="30"/>
        <v>0</v>
      </c>
      <c r="AB245">
        <f t="shared" si="31"/>
        <v>0</v>
      </c>
    </row>
    <row r="246" spans="1:28">
      <c r="A246" s="1" t="s">
        <v>285</v>
      </c>
      <c r="B246" s="1" t="s">
        <v>24</v>
      </c>
      <c r="C246" s="46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377</v>
      </c>
      <c r="M246" s="1" t="s">
        <v>42</v>
      </c>
      <c r="N246" s="13">
        <f t="shared" si="28"/>
        <v>9.2712236723090841E-2</v>
      </c>
      <c r="O246">
        <f t="shared" si="24"/>
        <v>130</v>
      </c>
      <c r="P246">
        <f t="shared" si="25"/>
        <v>4305</v>
      </c>
      <c r="Q246" t="str">
        <f>IF(AND(--$C246&gt;=--Campaign_Metadata_clean!$B$2,--$C246&lt;=--Campaign_Metadata_clean!$C$2),"SummerBeats",
IF(AND(--$C246&gt;=--Campaign_Metadata_clean!$B$3,--$C246&lt;=--Campaign_Metadata_clean!$C$3),"Wrapped2024",
IF(AND(--$C246&gt;=--Campaign_Metadata_clean!$B$4,--$C246&lt;=--Campaign_Metadata_clean!$C$4),"ChillVibes",
IF(AND(--$C246&gt;=--Campaign_Metadata_clean!$B$5,--$C246&lt;=--Campaign_Metadata_clean!$C$5),"IndieWave","No Campaign"))))</f>
        <v>No Campaign</v>
      </c>
      <c r="R246" t="str">
        <f t="shared" si="26"/>
        <v>Before</v>
      </c>
      <c r="S246" t="str">
        <f t="shared" si="27"/>
        <v/>
      </c>
      <c r="X246" s="47" t="str">
        <f>IFERROR(
_xlfn.XLOOKUP(Q246,
Campaign_Metadata_clean!A:A,
Campaign_Metadata_clean!B:B),
"")</f>
        <v/>
      </c>
      <c r="Y246" s="47" t="str">
        <f>IFERROR(
_xlfn.XLOOKUP(Q246,
Campaign_Metadata_clean!A:A,
Campaign_Metadata_clean!C:C),
"")</f>
        <v/>
      </c>
      <c r="Z246">
        <f t="shared" si="29"/>
        <v>0</v>
      </c>
      <c r="AA246">
        <f t="shared" si="30"/>
        <v>0</v>
      </c>
      <c r="AB246">
        <f t="shared" si="31"/>
        <v>0</v>
      </c>
    </row>
    <row r="247" spans="1:28">
      <c r="A247" s="1" t="s">
        <v>286</v>
      </c>
      <c r="B247" s="1" t="s">
        <v>24</v>
      </c>
      <c r="C247" s="46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45</v>
      </c>
      <c r="M247" s="1" t="s">
        <v>42</v>
      </c>
      <c r="N247" s="13">
        <f t="shared" si="28"/>
        <v>0.16477245248343569</v>
      </c>
      <c r="O247">
        <f t="shared" si="24"/>
        <v>22</v>
      </c>
      <c r="P247">
        <f t="shared" si="25"/>
        <v>3407</v>
      </c>
      <c r="Q247" t="str">
        <f>IF(AND(--$C247&gt;=--Campaign_Metadata_clean!$B$2,--$C247&lt;=--Campaign_Metadata_clean!$C$2),"SummerBeats",
IF(AND(--$C247&gt;=--Campaign_Metadata_clean!$B$3,--$C247&lt;=--Campaign_Metadata_clean!$C$3),"Wrapped2024",
IF(AND(--$C247&gt;=--Campaign_Metadata_clean!$B$4,--$C247&lt;=--Campaign_Metadata_clean!$C$4),"ChillVibes",
IF(AND(--$C247&gt;=--Campaign_Metadata_clean!$B$5,--$C247&lt;=--Campaign_Metadata_clean!$C$5),"IndieWave","No Campaign"))))</f>
        <v>SummerBeats</v>
      </c>
      <c r="R247" t="str">
        <f t="shared" si="26"/>
        <v>Before</v>
      </c>
      <c r="S247" t="str">
        <f t="shared" si="27"/>
        <v>During</v>
      </c>
      <c r="X247" s="47">
        <f>IFERROR(
_xlfn.XLOOKUP(Q247,
Campaign_Metadata_clean!A:A,
Campaign_Metadata_clean!B:B),
"")</f>
        <v>45458</v>
      </c>
      <c r="Y247" s="47">
        <f>IFERROR(
_xlfn.XLOOKUP(Q247,
Campaign_Metadata_clean!A:A,
Campaign_Metadata_clean!C:C),
"")</f>
        <v>45488</v>
      </c>
      <c r="Z247">
        <f t="shared" si="29"/>
        <v>7.7477551774674469E-2</v>
      </c>
      <c r="AA247">
        <f t="shared" si="30"/>
        <v>9.67495057607137E-2</v>
      </c>
      <c r="AB247">
        <f t="shared" ca="1" si="31"/>
        <v>0</v>
      </c>
    </row>
    <row r="248" spans="1:28">
      <c r="A248" s="1" t="s">
        <v>287</v>
      </c>
      <c r="B248" s="1" t="s">
        <v>24</v>
      </c>
      <c r="C248" s="46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21</v>
      </c>
      <c r="M248" s="1" t="s">
        <v>377</v>
      </c>
      <c r="N248" s="13">
        <f t="shared" si="28"/>
        <v>7.1354340971940891E-2</v>
      </c>
      <c r="O248">
        <f t="shared" si="24"/>
        <v>197</v>
      </c>
      <c r="P248">
        <f t="shared" si="25"/>
        <v>4051</v>
      </c>
      <c r="Q248" t="str">
        <f>IF(AND(--$C248&gt;=--Campaign_Metadata_clean!$B$2,--$C248&lt;=--Campaign_Metadata_clean!$C$2),"SummerBeats",
IF(AND(--$C248&gt;=--Campaign_Metadata_clean!$B$3,--$C248&lt;=--Campaign_Metadata_clean!$C$3),"Wrapped2024",
IF(AND(--$C248&gt;=--Campaign_Metadata_clean!$B$4,--$C248&lt;=--Campaign_Metadata_clean!$C$4),"ChillVibes",
IF(AND(--$C248&gt;=--Campaign_Metadata_clean!$B$5,--$C248&lt;=--Campaign_Metadata_clean!$C$5),"IndieWave","No Campaign"))))</f>
        <v>No Campaign</v>
      </c>
      <c r="R248" t="str">
        <f t="shared" si="26"/>
        <v>Before</v>
      </c>
      <c r="S248" t="str">
        <f t="shared" si="27"/>
        <v/>
      </c>
      <c r="X248" s="47" t="str">
        <f>IFERROR(
_xlfn.XLOOKUP(Q248,
Campaign_Metadata_clean!A:A,
Campaign_Metadata_clean!B:B),
"")</f>
        <v/>
      </c>
      <c r="Y248" s="47" t="str">
        <f>IFERROR(
_xlfn.XLOOKUP(Q248,
Campaign_Metadata_clean!A:A,
Campaign_Metadata_clean!C:C),
"")</f>
        <v/>
      </c>
      <c r="Z248">
        <f t="shared" si="29"/>
        <v>0</v>
      </c>
      <c r="AA248">
        <f t="shared" si="30"/>
        <v>0</v>
      </c>
      <c r="AB248">
        <f t="shared" si="31"/>
        <v>0</v>
      </c>
    </row>
    <row r="249" spans="1:28">
      <c r="A249" s="1" t="s">
        <v>288</v>
      </c>
      <c r="B249" s="1" t="s">
        <v>31</v>
      </c>
      <c r="C249" s="46">
        <v>45457</v>
      </c>
      <c r="D249" s="1" t="s">
        <v>57</v>
      </c>
      <c r="E249" s="1" t="s">
        <v>376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21</v>
      </c>
      <c r="M249" s="1" t="s">
        <v>45</v>
      </c>
      <c r="N249" s="13">
        <f t="shared" si="28"/>
        <v>0.19261223173659131</v>
      </c>
      <c r="O249">
        <f t="shared" si="24"/>
        <v>8</v>
      </c>
      <c r="P249">
        <f t="shared" si="25"/>
        <v>5376</v>
      </c>
      <c r="Q249" t="str">
        <f>IF(AND(--$C249&gt;=--Campaign_Metadata_clean!$B$2,--$C249&lt;=--Campaign_Metadata_clean!$C$2),"SummerBeats",
IF(AND(--$C249&gt;=--Campaign_Metadata_clean!$B$3,--$C249&lt;=--Campaign_Metadata_clean!$C$3),"Wrapped2024",
IF(AND(--$C249&gt;=--Campaign_Metadata_clean!$B$4,--$C249&lt;=--Campaign_Metadata_clean!$C$4),"ChillVibes",
IF(AND(--$C249&gt;=--Campaign_Metadata_clean!$B$5,--$C249&lt;=--Campaign_Metadata_clean!$C$5),"IndieWave","No Campaign"))))</f>
        <v>No Campaign</v>
      </c>
      <c r="R249" t="str">
        <f t="shared" si="26"/>
        <v>Before</v>
      </c>
      <c r="S249" t="str">
        <f t="shared" si="27"/>
        <v/>
      </c>
      <c r="X249" s="47" t="str">
        <f>IFERROR(
_xlfn.XLOOKUP(Q249,
Campaign_Metadata_clean!A:A,
Campaign_Metadata_clean!B:B),
"")</f>
        <v/>
      </c>
      <c r="Y249" s="47" t="str">
        <f>IFERROR(
_xlfn.XLOOKUP(Q249,
Campaign_Metadata_clean!A:A,
Campaign_Metadata_clean!C:C),
"")</f>
        <v/>
      </c>
      <c r="Z249">
        <f t="shared" si="29"/>
        <v>0</v>
      </c>
      <c r="AA249">
        <f t="shared" si="30"/>
        <v>0</v>
      </c>
      <c r="AB249">
        <f t="shared" si="31"/>
        <v>0</v>
      </c>
    </row>
    <row r="250" spans="1:28">
      <c r="A250" s="1" t="s">
        <v>289</v>
      </c>
      <c r="B250" s="1" t="s">
        <v>14</v>
      </c>
      <c r="C250" s="46">
        <v>45357</v>
      </c>
      <c r="D250" s="1" t="s">
        <v>15</v>
      </c>
      <c r="E250" s="1" t="s">
        <v>373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/>
      <c r="N250" s="13">
        <f t="shared" si="28"/>
        <v>0.14674444862627023</v>
      </c>
      <c r="O250">
        <f t="shared" si="24"/>
        <v>39</v>
      </c>
      <c r="P250">
        <f t="shared" si="25"/>
        <v>3899</v>
      </c>
      <c r="Q250" t="str">
        <f>IF(AND(--$C250&gt;=--Campaign_Metadata_clean!$B$2,--$C250&lt;=--Campaign_Metadata_clean!$C$2),"SummerBeats",
IF(AND(--$C250&gt;=--Campaign_Metadata_clean!$B$3,--$C250&lt;=--Campaign_Metadata_clean!$C$3),"Wrapped2024",
IF(AND(--$C250&gt;=--Campaign_Metadata_clean!$B$4,--$C250&lt;=--Campaign_Metadata_clean!$C$4),"ChillVibes",
IF(AND(--$C250&gt;=--Campaign_Metadata_clean!$B$5,--$C250&lt;=--Campaign_Metadata_clean!$C$5),"IndieWave","No Campaign"))))</f>
        <v>No Campaign</v>
      </c>
      <c r="R250" t="str">
        <f t="shared" si="26"/>
        <v>Before</v>
      </c>
      <c r="S250" t="str">
        <f t="shared" si="27"/>
        <v/>
      </c>
      <c r="X250" s="47" t="str">
        <f>IFERROR(
_xlfn.XLOOKUP(Q250,
Campaign_Metadata_clean!A:A,
Campaign_Metadata_clean!B:B),
"")</f>
        <v/>
      </c>
      <c r="Y250" s="47" t="str">
        <f>IFERROR(
_xlfn.XLOOKUP(Q250,
Campaign_Metadata_clean!A:A,
Campaign_Metadata_clean!C:C),
"")</f>
        <v/>
      </c>
      <c r="Z250">
        <f t="shared" si="29"/>
        <v>0</v>
      </c>
      <c r="AA250">
        <f t="shared" si="30"/>
        <v>0</v>
      </c>
      <c r="AB250">
        <f t="shared" si="31"/>
        <v>0</v>
      </c>
    </row>
    <row r="251" spans="1:28">
      <c r="A251" s="1" t="s">
        <v>290</v>
      </c>
      <c r="B251" s="1" t="s">
        <v>24</v>
      </c>
      <c r="C251" s="46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/>
      <c r="N251" s="13">
        <f t="shared" si="28"/>
        <v>0.17799483100057059</v>
      </c>
      <c r="O251">
        <f t="shared" si="24"/>
        <v>13</v>
      </c>
      <c r="P251">
        <f t="shared" si="25"/>
        <v>5303</v>
      </c>
      <c r="Q251" t="str">
        <f>IF(AND(--$C251&gt;=--Campaign_Metadata_clean!$B$2,--$C251&lt;=--Campaign_Metadata_clean!$C$2),"SummerBeats",
IF(AND(--$C251&gt;=--Campaign_Metadata_clean!$B$3,--$C251&lt;=--Campaign_Metadata_clean!$C$3),"Wrapped2024",
IF(AND(--$C251&gt;=--Campaign_Metadata_clean!$B$4,--$C251&lt;=--Campaign_Metadata_clean!$C$4),"ChillVibes",
IF(AND(--$C251&gt;=--Campaign_Metadata_clean!$B$5,--$C251&lt;=--Campaign_Metadata_clean!$C$5),"IndieWave","No Campaign"))))</f>
        <v>No Campaign</v>
      </c>
      <c r="R251" t="str">
        <f t="shared" si="26"/>
        <v>Other</v>
      </c>
      <c r="S251" t="str">
        <f t="shared" si="27"/>
        <v/>
      </c>
      <c r="X251" s="47" t="str">
        <f>IFERROR(
_xlfn.XLOOKUP(Q251,
Campaign_Metadata_clean!A:A,
Campaign_Metadata_clean!B:B),
"")</f>
        <v/>
      </c>
      <c r="Y251" s="47" t="str">
        <f>IFERROR(
_xlfn.XLOOKUP(Q251,
Campaign_Metadata_clean!A:A,
Campaign_Metadata_clean!C:C),
"")</f>
        <v/>
      </c>
      <c r="Z251">
        <f t="shared" si="29"/>
        <v>0</v>
      </c>
      <c r="AA251">
        <f t="shared" si="30"/>
        <v>0</v>
      </c>
      <c r="AB251">
        <f t="shared" si="31"/>
        <v>0</v>
      </c>
    </row>
    <row r="252" spans="1:28">
      <c r="A252" s="1" t="s">
        <v>291</v>
      </c>
      <c r="B252" s="1" t="s">
        <v>24</v>
      </c>
      <c r="C252" s="46">
        <v>45480</v>
      </c>
      <c r="D252" s="1" t="s">
        <v>15</v>
      </c>
      <c r="E252" s="1" t="s">
        <v>373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/>
      <c r="N252" s="13">
        <f t="shared" si="28"/>
        <v>4.4258807658382193E-2</v>
      </c>
      <c r="O252">
        <f t="shared" si="24"/>
        <v>269</v>
      </c>
      <c r="P252">
        <f t="shared" si="25"/>
        <v>2559</v>
      </c>
      <c r="Q252" t="str">
        <f>IF(AND(--$C252&gt;=--Campaign_Metadata_clean!$B$2,--$C252&lt;=--Campaign_Metadata_clean!$C$2),"SummerBeats",
IF(AND(--$C252&gt;=--Campaign_Metadata_clean!$B$3,--$C252&lt;=--Campaign_Metadata_clean!$C$3),"Wrapped2024",
IF(AND(--$C252&gt;=--Campaign_Metadata_clean!$B$4,--$C252&lt;=--Campaign_Metadata_clean!$C$4),"ChillVibes",
IF(AND(--$C252&gt;=--Campaign_Metadata_clean!$B$5,--$C252&lt;=--Campaign_Metadata_clean!$C$5),"IndieWave","No Campaign"))))</f>
        <v>SummerBeats</v>
      </c>
      <c r="R252" t="str">
        <f t="shared" si="26"/>
        <v>Before</v>
      </c>
      <c r="S252" t="str">
        <f t="shared" si="27"/>
        <v>During</v>
      </c>
      <c r="X252" s="47">
        <f>IFERROR(
_xlfn.XLOOKUP(Q252,
Campaign_Metadata_clean!A:A,
Campaign_Metadata_clean!B:B),
"")</f>
        <v>45458</v>
      </c>
      <c r="Y252" s="47">
        <f>IFERROR(
_xlfn.XLOOKUP(Q252,
Campaign_Metadata_clean!A:A,
Campaign_Metadata_clean!C:C),
"")</f>
        <v>45488</v>
      </c>
      <c r="Z252">
        <f t="shared" si="29"/>
        <v>7.7477551774674469E-2</v>
      </c>
      <c r="AA252">
        <f t="shared" si="30"/>
        <v>9.67495057607137E-2</v>
      </c>
      <c r="AB252">
        <f t="shared" ca="1" si="31"/>
        <v>0</v>
      </c>
    </row>
    <row r="253" spans="1:28">
      <c r="A253" s="1" t="s">
        <v>292</v>
      </c>
      <c r="B253" s="1" t="s">
        <v>31</v>
      </c>
      <c r="C253" s="46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21</v>
      </c>
      <c r="M253" s="1" t="s">
        <v>378</v>
      </c>
      <c r="N253" s="13">
        <f t="shared" si="28"/>
        <v>0.10762898272970794</v>
      </c>
      <c r="O253">
        <f t="shared" si="24"/>
        <v>90</v>
      </c>
      <c r="P253">
        <f t="shared" si="25"/>
        <v>4942</v>
      </c>
      <c r="Q253" t="str">
        <f>IF(AND(--$C253&gt;=--Campaign_Metadata_clean!$B$2,--$C253&lt;=--Campaign_Metadata_clean!$C$2),"SummerBeats",
IF(AND(--$C253&gt;=--Campaign_Metadata_clean!$B$3,--$C253&lt;=--Campaign_Metadata_clean!$C$3),"Wrapped2024",
IF(AND(--$C253&gt;=--Campaign_Metadata_clean!$B$4,--$C253&lt;=--Campaign_Metadata_clean!$C$4),"ChillVibes",
IF(AND(--$C253&gt;=--Campaign_Metadata_clean!$B$5,--$C253&lt;=--Campaign_Metadata_clean!$C$5),"IndieWave","No Campaign"))))</f>
        <v>No Campaign</v>
      </c>
      <c r="R253" t="str">
        <f t="shared" si="26"/>
        <v>Before</v>
      </c>
      <c r="S253" t="str">
        <f t="shared" si="27"/>
        <v/>
      </c>
      <c r="X253" s="47" t="str">
        <f>IFERROR(
_xlfn.XLOOKUP(Q253,
Campaign_Metadata_clean!A:A,
Campaign_Metadata_clean!B:B),
"")</f>
        <v/>
      </c>
      <c r="Y253" s="47" t="str">
        <f>IFERROR(
_xlfn.XLOOKUP(Q253,
Campaign_Metadata_clean!A:A,
Campaign_Metadata_clean!C:C),
"")</f>
        <v/>
      </c>
      <c r="Z253">
        <f t="shared" si="29"/>
        <v>0</v>
      </c>
      <c r="AA253">
        <f t="shared" si="30"/>
        <v>0</v>
      </c>
      <c r="AB253">
        <f t="shared" si="31"/>
        <v>0</v>
      </c>
    </row>
    <row r="254" spans="1:28">
      <c r="A254" s="1" t="s">
        <v>293</v>
      </c>
      <c r="B254" s="1" t="s">
        <v>31</v>
      </c>
      <c r="C254" s="46">
        <v>45512</v>
      </c>
      <c r="D254" s="1" t="s">
        <v>15</v>
      </c>
      <c r="E254" s="1" t="s">
        <v>374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21</v>
      </c>
      <c r="M254" s="1" t="s">
        <v>378</v>
      </c>
      <c r="N254" s="13">
        <f t="shared" si="28"/>
        <v>5.0121212121212122E-2</v>
      </c>
      <c r="O254">
        <f t="shared" si="24"/>
        <v>254</v>
      </c>
      <c r="P254">
        <f t="shared" si="25"/>
        <v>2481</v>
      </c>
      <c r="Q254" t="str">
        <f>IF(AND(--$C254&gt;=--Campaign_Metadata_clean!$B$2,--$C254&lt;=--Campaign_Metadata_clean!$C$2),"SummerBeats",
IF(AND(--$C254&gt;=--Campaign_Metadata_clean!$B$3,--$C254&lt;=--Campaign_Metadata_clean!$C$3),"Wrapped2024",
IF(AND(--$C254&gt;=--Campaign_Metadata_clean!$B$4,--$C254&lt;=--Campaign_Metadata_clean!$C$4),"ChillVibes",
IF(AND(--$C254&gt;=--Campaign_Metadata_clean!$B$5,--$C254&lt;=--Campaign_Metadata_clean!$C$5),"IndieWave","No Campaign"))))</f>
        <v>No Campaign</v>
      </c>
      <c r="R254" t="str">
        <f t="shared" si="26"/>
        <v>Before</v>
      </c>
      <c r="S254" t="str">
        <f t="shared" si="27"/>
        <v/>
      </c>
      <c r="X254" s="47" t="str">
        <f>IFERROR(
_xlfn.XLOOKUP(Q254,
Campaign_Metadata_clean!A:A,
Campaign_Metadata_clean!B:B),
"")</f>
        <v/>
      </c>
      <c r="Y254" s="47" t="str">
        <f>IFERROR(
_xlfn.XLOOKUP(Q254,
Campaign_Metadata_clean!A:A,
Campaign_Metadata_clean!C:C),
"")</f>
        <v/>
      </c>
      <c r="Z254">
        <f t="shared" si="29"/>
        <v>0</v>
      </c>
      <c r="AA254">
        <f t="shared" si="30"/>
        <v>0</v>
      </c>
      <c r="AB254">
        <f t="shared" si="31"/>
        <v>0</v>
      </c>
    </row>
    <row r="255" spans="1:28">
      <c r="A255" s="1" t="s">
        <v>294</v>
      </c>
      <c r="B255" s="1" t="s">
        <v>24</v>
      </c>
      <c r="C255" s="46">
        <v>45691</v>
      </c>
      <c r="D255" s="1" t="s">
        <v>15</v>
      </c>
      <c r="E255" s="1" t="s">
        <v>373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/>
      <c r="N255" s="13">
        <f t="shared" si="28"/>
        <v>0.15451192239551567</v>
      </c>
      <c r="O255">
        <f t="shared" si="24"/>
        <v>34</v>
      </c>
      <c r="P255">
        <f t="shared" si="25"/>
        <v>5320</v>
      </c>
      <c r="Q255" t="str">
        <f>IF(AND(--$C255&gt;=--Campaign_Metadata_clean!$B$2,--$C255&lt;=--Campaign_Metadata_clean!$C$2),"SummerBeats",
IF(AND(--$C255&gt;=--Campaign_Metadata_clean!$B$3,--$C255&lt;=--Campaign_Metadata_clean!$C$3),"Wrapped2024",
IF(AND(--$C255&gt;=--Campaign_Metadata_clean!$B$4,--$C255&lt;=--Campaign_Metadata_clean!$C$4),"ChillVibes",
IF(AND(--$C255&gt;=--Campaign_Metadata_clean!$B$5,--$C255&lt;=--Campaign_Metadata_clean!$C$5),"IndieWave","No Campaign"))))</f>
        <v>ChillVibes</v>
      </c>
      <c r="R255" t="str">
        <f t="shared" si="26"/>
        <v>During</v>
      </c>
      <c r="S255" t="str">
        <f t="shared" si="27"/>
        <v>During</v>
      </c>
      <c r="X255" s="47">
        <f>IFERROR(
_xlfn.XLOOKUP(Q255,
Campaign_Metadata_clean!A:A,
Campaign_Metadata_clean!B:B),
"")</f>
        <v>45667</v>
      </c>
      <c r="Y255" s="47">
        <f>IFERROR(
_xlfn.XLOOKUP(Q255,
Campaign_Metadata_clean!A:A,
Campaign_Metadata_clean!C:C),
"")</f>
        <v>45698</v>
      </c>
      <c r="Z255">
        <f t="shared" si="29"/>
        <v>0.10086311618757582</v>
      </c>
      <c r="AA255">
        <f t="shared" si="30"/>
        <v>0.10541160412718438</v>
      </c>
      <c r="AB255">
        <f t="shared" ca="1" si="31"/>
        <v>0</v>
      </c>
    </row>
    <row r="256" spans="1:28">
      <c r="A256" s="1" t="s">
        <v>295</v>
      </c>
      <c r="B256" s="1" t="s">
        <v>24</v>
      </c>
      <c r="C256" s="46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21</v>
      </c>
      <c r="M256" s="1" t="s">
        <v>377</v>
      </c>
      <c r="N256" s="13">
        <f t="shared" si="28"/>
        <v>5.7503193495407452E-2</v>
      </c>
      <c r="O256">
        <f t="shared" si="24"/>
        <v>232</v>
      </c>
      <c r="P256">
        <f t="shared" si="25"/>
        <v>2836</v>
      </c>
      <c r="Q256" t="str">
        <f>IF(AND(--$C256&gt;=--Campaign_Metadata_clean!$B$2,--$C256&lt;=--Campaign_Metadata_clean!$C$2),"SummerBeats",
IF(AND(--$C256&gt;=--Campaign_Metadata_clean!$B$3,--$C256&lt;=--Campaign_Metadata_clean!$C$3),"Wrapped2024",
IF(AND(--$C256&gt;=--Campaign_Metadata_clean!$B$4,--$C256&lt;=--Campaign_Metadata_clean!$C$4),"ChillVibes",
IF(AND(--$C256&gt;=--Campaign_Metadata_clean!$B$5,--$C256&lt;=--Campaign_Metadata_clean!$C$5),"IndieWave","No Campaign"))))</f>
        <v>No Campaign</v>
      </c>
      <c r="R256" t="str">
        <f t="shared" si="26"/>
        <v>Before</v>
      </c>
      <c r="S256" t="str">
        <f t="shared" si="27"/>
        <v/>
      </c>
      <c r="X256" s="47" t="str">
        <f>IFERROR(
_xlfn.XLOOKUP(Q256,
Campaign_Metadata_clean!A:A,
Campaign_Metadata_clean!B:B),
"")</f>
        <v/>
      </c>
      <c r="Y256" s="47" t="str">
        <f>IFERROR(
_xlfn.XLOOKUP(Q256,
Campaign_Metadata_clean!A:A,
Campaign_Metadata_clean!C:C),
"")</f>
        <v/>
      </c>
      <c r="Z256">
        <f t="shared" si="29"/>
        <v>0</v>
      </c>
      <c r="AA256">
        <f t="shared" si="30"/>
        <v>0</v>
      </c>
      <c r="AB256">
        <f t="shared" si="31"/>
        <v>0</v>
      </c>
    </row>
    <row r="257" spans="1:28">
      <c r="A257" s="1" t="s">
        <v>296</v>
      </c>
      <c r="B257" s="1" t="s">
        <v>24</v>
      </c>
      <c r="C257" s="46">
        <v>45481</v>
      </c>
      <c r="D257" s="1" t="s">
        <v>25</v>
      </c>
      <c r="E257" s="1" t="s">
        <v>376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377</v>
      </c>
      <c r="M257" s="1" t="s">
        <v>42</v>
      </c>
      <c r="N257" s="13">
        <f t="shared" si="28"/>
        <v>5.2312660271630736E-2</v>
      </c>
      <c r="O257">
        <f t="shared" si="24"/>
        <v>246</v>
      </c>
      <c r="P257">
        <f t="shared" si="25"/>
        <v>2754</v>
      </c>
      <c r="Q257" t="str">
        <f>IF(AND(--$C257&gt;=--Campaign_Metadata_clean!$B$2,--$C257&lt;=--Campaign_Metadata_clean!$C$2),"SummerBeats",
IF(AND(--$C257&gt;=--Campaign_Metadata_clean!$B$3,--$C257&lt;=--Campaign_Metadata_clean!$C$3),"Wrapped2024",
IF(AND(--$C257&gt;=--Campaign_Metadata_clean!$B$4,--$C257&lt;=--Campaign_Metadata_clean!$C$4),"ChillVibes",
IF(AND(--$C257&gt;=--Campaign_Metadata_clean!$B$5,--$C257&lt;=--Campaign_Metadata_clean!$C$5),"IndieWave","No Campaign"))))</f>
        <v>SummerBeats</v>
      </c>
      <c r="R257" t="str">
        <f t="shared" si="26"/>
        <v>Before</v>
      </c>
      <c r="S257" t="str">
        <f t="shared" si="27"/>
        <v>During</v>
      </c>
      <c r="X257" s="47">
        <f>IFERROR(
_xlfn.XLOOKUP(Q257,
Campaign_Metadata_clean!A:A,
Campaign_Metadata_clean!B:B),
"")</f>
        <v>45458</v>
      </c>
      <c r="Y257" s="47">
        <f>IFERROR(
_xlfn.XLOOKUP(Q257,
Campaign_Metadata_clean!A:A,
Campaign_Metadata_clean!C:C),
"")</f>
        <v>45488</v>
      </c>
      <c r="Z257">
        <f t="shared" si="29"/>
        <v>7.7477551774674469E-2</v>
      </c>
      <c r="AA257">
        <f t="shared" si="30"/>
        <v>9.67495057607137E-2</v>
      </c>
      <c r="AB257">
        <f t="shared" ca="1" si="31"/>
        <v>0</v>
      </c>
    </row>
    <row r="258" spans="1:28">
      <c r="A258" s="1" t="s">
        <v>297</v>
      </c>
      <c r="B258" s="1" t="s">
        <v>24</v>
      </c>
      <c r="C258" s="46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21</v>
      </c>
      <c r="M258" s="1" t="s">
        <v>377</v>
      </c>
      <c r="N258" s="13">
        <f t="shared" si="28"/>
        <v>8.5608773500447627E-2</v>
      </c>
      <c r="O258">
        <f t="shared" ref="O258:O321" si="32">RANK(N258,$N:$N,0)</f>
        <v>153</v>
      </c>
      <c r="P258">
        <f t="shared" ref="P258:P301" si="33">F258+G258+H258</f>
        <v>3825</v>
      </c>
      <c r="Q258" t="str">
        <f>IF(AND(--$C258&gt;=--Campaign_Metadata_clean!$B$2,--$C258&lt;=--Campaign_Metadata_clean!$C$2),"SummerBeats",
IF(AND(--$C258&gt;=--Campaign_Metadata_clean!$B$3,--$C258&lt;=--Campaign_Metadata_clean!$C$3),"Wrapped2024",
IF(AND(--$C258&gt;=--Campaign_Metadata_clean!$B$4,--$C258&lt;=--Campaign_Metadata_clean!$C$4),"ChillVibes",
IF(AND(--$C258&gt;=--Campaign_Metadata_clean!$B$5,--$C258&lt;=--Campaign_Metadata_clean!$C$5),"IndieWave","No Campaign"))))</f>
        <v>No Campaign</v>
      </c>
      <c r="R258" t="str">
        <f t="shared" ref="R258:R301" si="34">IF(AND(C258&gt;=DATE(2025,1,10), C258&lt;=DATE(2025,2,10)),
"During",
IF(C258&lt;DATE(2025,1,10),
"Before",
"Other"))</f>
        <v>Before</v>
      </c>
      <c r="S258" t="str">
        <f t="shared" ref="S258:S301" si="35">IF(OR(X258="",Y258=""),"",
IF(AND(C258&gt;=X258-30,C258&lt;X258),"Before",
IF(AND(C258&gt;=X258,C258&lt;=Y258),"During","Other")))</f>
        <v/>
      </c>
      <c r="X258" s="47" t="str">
        <f>IFERROR(
_xlfn.XLOOKUP(Q258,
Campaign_Metadata_clean!A:A,
Campaign_Metadata_clean!B:B),
"")</f>
        <v/>
      </c>
      <c r="Y258" s="47" t="str">
        <f>IFERROR(
_xlfn.XLOOKUP(Q258,
Campaign_Metadata_clean!A:A,
Campaign_Metadata_clean!C:C),
"")</f>
        <v/>
      </c>
      <c r="Z258">
        <f t="shared" si="29"/>
        <v>0</v>
      </c>
      <c r="AA258">
        <f t="shared" si="30"/>
        <v>0</v>
      </c>
      <c r="AB258">
        <f t="shared" si="31"/>
        <v>0</v>
      </c>
    </row>
    <row r="259" spans="1:28">
      <c r="A259" s="1" t="s">
        <v>298</v>
      </c>
      <c r="B259" s="1" t="s">
        <v>31</v>
      </c>
      <c r="C259" s="46">
        <v>45736</v>
      </c>
      <c r="D259" s="1" t="s">
        <v>57</v>
      </c>
      <c r="E259" s="1" t="s">
        <v>374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21</v>
      </c>
      <c r="M259" s="1" t="s">
        <v>45</v>
      </c>
      <c r="N259" s="13">
        <f t="shared" ref="N259:N301" si="36">(F259+G259+H259)/I259</f>
        <v>3.3729709324273313E-2</v>
      </c>
      <c r="O259">
        <f t="shared" si="32"/>
        <v>292</v>
      </c>
      <c r="P259">
        <f t="shared" si="33"/>
        <v>1787</v>
      </c>
      <c r="Q259" t="str">
        <f>IF(AND(--$C259&gt;=--Campaign_Metadata_clean!$B$2,--$C259&lt;=--Campaign_Metadata_clean!$C$2),"SummerBeats",
IF(AND(--$C259&gt;=--Campaign_Metadata_clean!$B$3,--$C259&lt;=--Campaign_Metadata_clean!$C$3),"Wrapped2024",
IF(AND(--$C259&gt;=--Campaign_Metadata_clean!$B$4,--$C259&lt;=--Campaign_Metadata_clean!$C$4),"ChillVibes",
IF(AND(--$C259&gt;=--Campaign_Metadata_clean!$B$5,--$C259&lt;=--Campaign_Metadata_clean!$C$5),"IndieWave","No Campaign"))))</f>
        <v>IndieWave</v>
      </c>
      <c r="R259" t="str">
        <f t="shared" si="34"/>
        <v>Other</v>
      </c>
      <c r="S259" t="str">
        <f t="shared" si="35"/>
        <v>During</v>
      </c>
      <c r="X259" s="47">
        <f>IFERROR(
_xlfn.XLOOKUP(Q259,
Campaign_Metadata_clean!A:A,
Campaign_Metadata_clean!B:B),
"")</f>
        <v>45717</v>
      </c>
      <c r="Y259" s="47">
        <f>IFERROR(
_xlfn.XLOOKUP(Q259,
Campaign_Metadata_clean!A:A,
Campaign_Metadata_clean!C:C),
"")</f>
        <v>45747</v>
      </c>
      <c r="Z259">
        <f t="shared" ref="Z259:Z301" si="37">IFERROR(
AVERAGEIFS(N:N,
C:C, "&gt;=" &amp; X259-30,
C:C, "&lt;" &amp; X259),
0)</f>
        <v>0.11058335030833821</v>
      </c>
      <c r="AA259">
        <f t="shared" ref="AA259:AA301" si="38">IFERROR(
AVERAGEIFS(N:N,
C:C, "&gt;=" &amp; X259,
C:C, "&lt;=" &amp; Y259),
0)</f>
        <v>0.10264545756473814</v>
      </c>
      <c r="AB259">
        <f t="shared" ref="AB259:AB301" ca="1" si="39">IF(AA259=0,0,(AB259-AA259)/AA259)</f>
        <v>0</v>
      </c>
    </row>
    <row r="260" spans="1:28">
      <c r="A260" s="1" t="s">
        <v>299</v>
      </c>
      <c r="B260" s="1" t="s">
        <v>24</v>
      </c>
      <c r="C260" s="46">
        <v>45676</v>
      </c>
      <c r="D260" s="1" t="s">
        <v>25</v>
      </c>
      <c r="E260" s="1" t="s">
        <v>375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45</v>
      </c>
      <c r="M260" s="1" t="s">
        <v>42</v>
      </c>
      <c r="N260" s="13">
        <f t="shared" si="36"/>
        <v>7.5077784691972627E-2</v>
      </c>
      <c r="O260">
        <f t="shared" si="32"/>
        <v>188</v>
      </c>
      <c r="P260">
        <f t="shared" si="33"/>
        <v>2413</v>
      </c>
      <c r="Q260" t="str">
        <f>IF(AND(--$C260&gt;=--Campaign_Metadata_clean!$B$2,--$C260&lt;=--Campaign_Metadata_clean!$C$2),"SummerBeats",
IF(AND(--$C260&gt;=--Campaign_Metadata_clean!$B$3,--$C260&lt;=--Campaign_Metadata_clean!$C$3),"Wrapped2024",
IF(AND(--$C260&gt;=--Campaign_Metadata_clean!$B$4,--$C260&lt;=--Campaign_Metadata_clean!$C$4),"ChillVibes",
IF(AND(--$C260&gt;=--Campaign_Metadata_clean!$B$5,--$C260&lt;=--Campaign_Metadata_clean!$C$5),"IndieWave","No Campaign"))))</f>
        <v>ChillVibes</v>
      </c>
      <c r="R260" t="str">
        <f t="shared" si="34"/>
        <v>During</v>
      </c>
      <c r="S260" t="str">
        <f t="shared" si="35"/>
        <v>During</v>
      </c>
      <c r="X260" s="47">
        <f>IFERROR(
_xlfn.XLOOKUP(Q260,
Campaign_Metadata_clean!A:A,
Campaign_Metadata_clean!B:B),
"")</f>
        <v>45667</v>
      </c>
      <c r="Y260" s="47">
        <f>IFERROR(
_xlfn.XLOOKUP(Q260,
Campaign_Metadata_clean!A:A,
Campaign_Metadata_clean!C:C),
"")</f>
        <v>45698</v>
      </c>
      <c r="Z260">
        <f t="shared" si="37"/>
        <v>0.10086311618757582</v>
      </c>
      <c r="AA260">
        <f t="shared" si="38"/>
        <v>0.10541160412718438</v>
      </c>
      <c r="AB260">
        <f t="shared" ca="1" si="39"/>
        <v>0</v>
      </c>
    </row>
    <row r="261" spans="1:28">
      <c r="A261" s="1" t="s">
        <v>300</v>
      </c>
      <c r="B261" s="1" t="s">
        <v>24</v>
      </c>
      <c r="C261" s="46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377</v>
      </c>
      <c r="M261" s="1" t="s">
        <v>42</v>
      </c>
      <c r="N261" s="13">
        <f t="shared" si="36"/>
        <v>8.3423643616408028E-2</v>
      </c>
      <c r="O261">
        <f t="shared" si="32"/>
        <v>163</v>
      </c>
      <c r="P261">
        <f t="shared" si="33"/>
        <v>3618</v>
      </c>
      <c r="Q261" t="str">
        <f>IF(AND(--$C261&gt;=--Campaign_Metadata_clean!$B$2,--$C261&lt;=--Campaign_Metadata_clean!$C$2),"SummerBeats",
IF(AND(--$C261&gt;=--Campaign_Metadata_clean!$B$3,--$C261&lt;=--Campaign_Metadata_clean!$C$3),"Wrapped2024",
IF(AND(--$C261&gt;=--Campaign_Metadata_clean!$B$4,--$C261&lt;=--Campaign_Metadata_clean!$C$4),"ChillVibes",
IF(AND(--$C261&gt;=--Campaign_Metadata_clean!$B$5,--$C261&lt;=--Campaign_Metadata_clean!$C$5),"IndieWave","No Campaign"))))</f>
        <v>No Campaign</v>
      </c>
      <c r="R261" t="str">
        <f t="shared" si="34"/>
        <v>Before</v>
      </c>
      <c r="S261" t="str">
        <f t="shared" si="35"/>
        <v/>
      </c>
      <c r="X261" s="47" t="str">
        <f>IFERROR(
_xlfn.XLOOKUP(Q261,
Campaign_Metadata_clean!A:A,
Campaign_Metadata_clean!B:B),
"")</f>
        <v/>
      </c>
      <c r="Y261" s="47" t="str">
        <f>IFERROR(
_xlfn.XLOOKUP(Q261,
Campaign_Metadata_clean!A:A,
Campaign_Metadata_clean!C:C),
"")</f>
        <v/>
      </c>
      <c r="Z261">
        <f t="shared" si="37"/>
        <v>0</v>
      </c>
      <c r="AA261">
        <f t="shared" si="38"/>
        <v>0</v>
      </c>
      <c r="AB261">
        <f t="shared" si="39"/>
        <v>0</v>
      </c>
    </row>
    <row r="262" spans="1:28">
      <c r="A262" s="1" t="s">
        <v>301</v>
      </c>
      <c r="B262" s="1" t="s">
        <v>24</v>
      </c>
      <c r="C262" s="46">
        <v>45612</v>
      </c>
      <c r="D262" s="1" t="s">
        <v>15</v>
      </c>
      <c r="E262" s="1" t="s">
        <v>374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/>
      <c r="N262" s="13">
        <f t="shared" si="36"/>
        <v>6.8477000386548123E-2</v>
      </c>
      <c r="O262">
        <f t="shared" si="32"/>
        <v>206</v>
      </c>
      <c r="P262">
        <f t="shared" si="33"/>
        <v>3543</v>
      </c>
      <c r="Q262" t="str">
        <f>IF(AND(--$C262&gt;=--Campaign_Metadata_clean!$B$2,--$C262&lt;=--Campaign_Metadata_clean!$C$2),"SummerBeats",
IF(AND(--$C262&gt;=--Campaign_Metadata_clean!$B$3,--$C262&lt;=--Campaign_Metadata_clean!$C$3),"Wrapped2024",
IF(AND(--$C262&gt;=--Campaign_Metadata_clean!$B$4,--$C262&lt;=--Campaign_Metadata_clean!$C$4),"ChillVibes",
IF(AND(--$C262&gt;=--Campaign_Metadata_clean!$B$5,--$C262&lt;=--Campaign_Metadata_clean!$C$5),"IndieWave","No Campaign"))))</f>
        <v>No Campaign</v>
      </c>
      <c r="R262" t="str">
        <f t="shared" si="34"/>
        <v>Before</v>
      </c>
      <c r="S262" t="str">
        <f t="shared" si="35"/>
        <v/>
      </c>
      <c r="X262" s="47" t="str">
        <f>IFERROR(
_xlfn.XLOOKUP(Q262,
Campaign_Metadata_clean!A:A,
Campaign_Metadata_clean!B:B),
"")</f>
        <v/>
      </c>
      <c r="Y262" s="47" t="str">
        <f>IFERROR(
_xlfn.XLOOKUP(Q262,
Campaign_Metadata_clean!A:A,
Campaign_Metadata_clean!C:C),
"")</f>
        <v/>
      </c>
      <c r="Z262">
        <f t="shared" si="37"/>
        <v>0</v>
      </c>
      <c r="AA262">
        <f t="shared" si="38"/>
        <v>0</v>
      </c>
      <c r="AB262">
        <f t="shared" si="39"/>
        <v>0</v>
      </c>
    </row>
    <row r="263" spans="1:28">
      <c r="A263" s="1" t="s">
        <v>302</v>
      </c>
      <c r="B263" s="1" t="s">
        <v>24</v>
      </c>
      <c r="C263" s="46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377</v>
      </c>
      <c r="M263" s="1" t="s">
        <v>42</v>
      </c>
      <c r="N263" s="13">
        <f t="shared" si="36"/>
        <v>0.12190780876853062</v>
      </c>
      <c r="O263">
        <f t="shared" si="32"/>
        <v>63</v>
      </c>
      <c r="P263">
        <f t="shared" si="33"/>
        <v>5411</v>
      </c>
      <c r="Q263" t="str">
        <f>IF(AND(--$C263&gt;=--Campaign_Metadata_clean!$B$2,--$C263&lt;=--Campaign_Metadata_clean!$C$2),"SummerBeats",
IF(AND(--$C263&gt;=--Campaign_Metadata_clean!$B$3,--$C263&lt;=--Campaign_Metadata_clean!$C$3),"Wrapped2024",
IF(AND(--$C263&gt;=--Campaign_Metadata_clean!$B$4,--$C263&lt;=--Campaign_Metadata_clean!$C$4),"ChillVibes",
IF(AND(--$C263&gt;=--Campaign_Metadata_clean!$B$5,--$C263&lt;=--Campaign_Metadata_clean!$C$5),"IndieWave","No Campaign"))))</f>
        <v>No Campaign</v>
      </c>
      <c r="R263" t="str">
        <f t="shared" si="34"/>
        <v>Before</v>
      </c>
      <c r="S263" t="str">
        <f t="shared" si="35"/>
        <v/>
      </c>
      <c r="X263" s="47" t="str">
        <f>IFERROR(
_xlfn.XLOOKUP(Q263,
Campaign_Metadata_clean!A:A,
Campaign_Metadata_clean!B:B),
"")</f>
        <v/>
      </c>
      <c r="Y263" s="47" t="str">
        <f>IFERROR(
_xlfn.XLOOKUP(Q263,
Campaign_Metadata_clean!A:A,
Campaign_Metadata_clean!C:C),
"")</f>
        <v/>
      </c>
      <c r="Z263">
        <f t="shared" si="37"/>
        <v>0</v>
      </c>
      <c r="AA263">
        <f t="shared" si="38"/>
        <v>0</v>
      </c>
      <c r="AB263">
        <f t="shared" si="39"/>
        <v>0</v>
      </c>
    </row>
    <row r="264" spans="1:28">
      <c r="A264" s="1" t="s">
        <v>303</v>
      </c>
      <c r="B264" s="1" t="s">
        <v>31</v>
      </c>
      <c r="C264" s="46">
        <v>45378</v>
      </c>
      <c r="D264" s="1" t="s">
        <v>15</v>
      </c>
      <c r="E264" s="1" t="s">
        <v>375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21</v>
      </c>
      <c r="M264" s="1" t="s">
        <v>378</v>
      </c>
      <c r="N264" s="13">
        <f t="shared" si="36"/>
        <v>5.4473577117609438E-2</v>
      </c>
      <c r="O264">
        <f t="shared" si="32"/>
        <v>240</v>
      </c>
      <c r="P264">
        <f t="shared" si="33"/>
        <v>2811</v>
      </c>
      <c r="Q264" t="str">
        <f>IF(AND(--$C264&gt;=--Campaign_Metadata_clean!$B$2,--$C264&lt;=--Campaign_Metadata_clean!$C$2),"SummerBeats",
IF(AND(--$C264&gt;=--Campaign_Metadata_clean!$B$3,--$C264&lt;=--Campaign_Metadata_clean!$C$3),"Wrapped2024",
IF(AND(--$C264&gt;=--Campaign_Metadata_clean!$B$4,--$C264&lt;=--Campaign_Metadata_clean!$C$4),"ChillVibes",
IF(AND(--$C264&gt;=--Campaign_Metadata_clean!$B$5,--$C264&lt;=--Campaign_Metadata_clean!$C$5),"IndieWave","No Campaign"))))</f>
        <v>No Campaign</v>
      </c>
      <c r="R264" t="str">
        <f t="shared" si="34"/>
        <v>Before</v>
      </c>
      <c r="S264" t="str">
        <f t="shared" si="35"/>
        <v/>
      </c>
      <c r="X264" s="47" t="str">
        <f>IFERROR(
_xlfn.XLOOKUP(Q264,
Campaign_Metadata_clean!A:A,
Campaign_Metadata_clean!B:B),
"")</f>
        <v/>
      </c>
      <c r="Y264" s="47" t="str">
        <f>IFERROR(
_xlfn.XLOOKUP(Q264,
Campaign_Metadata_clean!A:A,
Campaign_Metadata_clean!C:C),
"")</f>
        <v/>
      </c>
      <c r="Z264">
        <f t="shared" si="37"/>
        <v>0</v>
      </c>
      <c r="AA264">
        <f t="shared" si="38"/>
        <v>0</v>
      </c>
      <c r="AB264">
        <f t="shared" si="39"/>
        <v>0</v>
      </c>
    </row>
    <row r="265" spans="1:28">
      <c r="A265" s="1" t="s">
        <v>304</v>
      </c>
      <c r="B265" s="1" t="s">
        <v>31</v>
      </c>
      <c r="C265" s="46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21</v>
      </c>
      <c r="M265" s="1" t="s">
        <v>45</v>
      </c>
      <c r="N265" s="13">
        <f t="shared" si="36"/>
        <v>5.4859907104176028E-2</v>
      </c>
      <c r="O265">
        <f t="shared" si="32"/>
        <v>236</v>
      </c>
      <c r="P265">
        <f t="shared" si="33"/>
        <v>2563</v>
      </c>
      <c r="Q265" t="str">
        <f>IF(AND(--$C265&gt;=--Campaign_Metadata_clean!$B$2,--$C265&lt;=--Campaign_Metadata_clean!$C$2),"SummerBeats",
IF(AND(--$C265&gt;=--Campaign_Metadata_clean!$B$3,--$C265&lt;=--Campaign_Metadata_clean!$C$3),"Wrapped2024",
IF(AND(--$C265&gt;=--Campaign_Metadata_clean!$B$4,--$C265&lt;=--Campaign_Metadata_clean!$C$4),"ChillVibes",
IF(AND(--$C265&gt;=--Campaign_Metadata_clean!$B$5,--$C265&lt;=--Campaign_Metadata_clean!$C$5),"IndieWave","No Campaign"))))</f>
        <v>No Campaign</v>
      </c>
      <c r="R265" t="str">
        <f t="shared" si="34"/>
        <v>Other</v>
      </c>
      <c r="S265" t="str">
        <f t="shared" si="35"/>
        <v/>
      </c>
      <c r="X265" s="47" t="str">
        <f>IFERROR(
_xlfn.XLOOKUP(Q265,
Campaign_Metadata_clean!A:A,
Campaign_Metadata_clean!B:B),
"")</f>
        <v/>
      </c>
      <c r="Y265" s="47" t="str">
        <f>IFERROR(
_xlfn.XLOOKUP(Q265,
Campaign_Metadata_clean!A:A,
Campaign_Metadata_clean!C:C),
"")</f>
        <v/>
      </c>
      <c r="Z265">
        <f t="shared" si="37"/>
        <v>0</v>
      </c>
      <c r="AA265">
        <f t="shared" si="38"/>
        <v>0</v>
      </c>
      <c r="AB265">
        <f t="shared" si="39"/>
        <v>0</v>
      </c>
    </row>
    <row r="266" spans="1:28">
      <c r="A266" s="1" t="s">
        <v>305</v>
      </c>
      <c r="B266" s="1" t="s">
        <v>24</v>
      </c>
      <c r="C266" s="46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21</v>
      </c>
      <c r="M266" s="1" t="s">
        <v>377</v>
      </c>
      <c r="N266" s="13">
        <f t="shared" si="36"/>
        <v>9.0752980172121162E-2</v>
      </c>
      <c r="O266">
        <f t="shared" si="32"/>
        <v>137</v>
      </c>
      <c r="P266">
        <f t="shared" si="33"/>
        <v>4545</v>
      </c>
      <c r="Q266" t="str">
        <f>IF(AND(--$C266&gt;=--Campaign_Metadata_clean!$B$2,--$C266&lt;=--Campaign_Metadata_clean!$C$2),"SummerBeats",
IF(AND(--$C266&gt;=--Campaign_Metadata_clean!$B$3,--$C266&lt;=--Campaign_Metadata_clean!$C$3),"Wrapped2024",
IF(AND(--$C266&gt;=--Campaign_Metadata_clean!$B$4,--$C266&lt;=--Campaign_Metadata_clean!$C$4),"ChillVibes",
IF(AND(--$C266&gt;=--Campaign_Metadata_clean!$B$5,--$C266&lt;=--Campaign_Metadata_clean!$C$5),"IndieWave","No Campaign"))))</f>
        <v>No Campaign</v>
      </c>
      <c r="R266" t="str">
        <f t="shared" si="34"/>
        <v>Other</v>
      </c>
      <c r="S266" t="str">
        <f t="shared" si="35"/>
        <v/>
      </c>
      <c r="X266" s="47" t="str">
        <f>IFERROR(
_xlfn.XLOOKUP(Q266,
Campaign_Metadata_clean!A:A,
Campaign_Metadata_clean!B:B),
"")</f>
        <v/>
      </c>
      <c r="Y266" s="47" t="str">
        <f>IFERROR(
_xlfn.XLOOKUP(Q266,
Campaign_Metadata_clean!A:A,
Campaign_Metadata_clean!C:C),
"")</f>
        <v/>
      </c>
      <c r="Z266">
        <f t="shared" si="37"/>
        <v>0</v>
      </c>
      <c r="AA266">
        <f t="shared" si="38"/>
        <v>0</v>
      </c>
      <c r="AB266">
        <f t="shared" si="39"/>
        <v>0</v>
      </c>
    </row>
    <row r="267" spans="1:28">
      <c r="A267" s="1" t="s">
        <v>306</v>
      </c>
      <c r="B267" s="1" t="s">
        <v>14</v>
      </c>
      <c r="C267" s="46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/>
      <c r="N267" s="13">
        <f t="shared" si="36"/>
        <v>0.11695224773672146</v>
      </c>
      <c r="O267">
        <f t="shared" si="32"/>
        <v>68</v>
      </c>
      <c r="P267">
        <f t="shared" si="33"/>
        <v>3010</v>
      </c>
      <c r="Q267" t="str">
        <f>IF(AND(--$C267&gt;=--Campaign_Metadata_clean!$B$2,--$C267&lt;=--Campaign_Metadata_clean!$C$2),"SummerBeats",
IF(AND(--$C267&gt;=--Campaign_Metadata_clean!$B$3,--$C267&lt;=--Campaign_Metadata_clean!$C$3),"Wrapped2024",
IF(AND(--$C267&gt;=--Campaign_Metadata_clean!$B$4,--$C267&lt;=--Campaign_Metadata_clean!$C$4),"ChillVibes",
IF(AND(--$C267&gt;=--Campaign_Metadata_clean!$B$5,--$C267&lt;=--Campaign_Metadata_clean!$C$5),"IndieWave","No Campaign"))))</f>
        <v>No Campaign</v>
      </c>
      <c r="R267" t="str">
        <f t="shared" si="34"/>
        <v>Before</v>
      </c>
      <c r="S267" t="str">
        <f t="shared" si="35"/>
        <v/>
      </c>
      <c r="X267" s="47" t="str">
        <f>IFERROR(
_xlfn.XLOOKUP(Q267,
Campaign_Metadata_clean!A:A,
Campaign_Metadata_clean!B:B),
"")</f>
        <v/>
      </c>
      <c r="Y267" s="47" t="str">
        <f>IFERROR(
_xlfn.XLOOKUP(Q267,
Campaign_Metadata_clean!A:A,
Campaign_Metadata_clean!C:C),
"")</f>
        <v/>
      </c>
      <c r="Z267">
        <f t="shared" si="37"/>
        <v>0</v>
      </c>
      <c r="AA267">
        <f t="shared" si="38"/>
        <v>0</v>
      </c>
      <c r="AB267">
        <f t="shared" si="39"/>
        <v>0</v>
      </c>
    </row>
    <row r="268" spans="1:28">
      <c r="A268" s="1" t="s">
        <v>307</v>
      </c>
      <c r="B268" s="1" t="s">
        <v>31</v>
      </c>
      <c r="C268" s="46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21</v>
      </c>
      <c r="M268" s="1" t="s">
        <v>378</v>
      </c>
      <c r="N268" s="13">
        <f t="shared" si="36"/>
        <v>6.1279893894806647E-2</v>
      </c>
      <c r="O268">
        <f t="shared" si="32"/>
        <v>219</v>
      </c>
      <c r="P268">
        <f t="shared" si="33"/>
        <v>2957</v>
      </c>
      <c r="Q268" t="str">
        <f>IF(AND(--$C268&gt;=--Campaign_Metadata_clean!$B$2,--$C268&lt;=--Campaign_Metadata_clean!$C$2),"SummerBeats",
IF(AND(--$C268&gt;=--Campaign_Metadata_clean!$B$3,--$C268&lt;=--Campaign_Metadata_clean!$C$3),"Wrapped2024",
IF(AND(--$C268&gt;=--Campaign_Metadata_clean!$B$4,--$C268&lt;=--Campaign_Metadata_clean!$C$4),"ChillVibes",
IF(AND(--$C268&gt;=--Campaign_Metadata_clean!$B$5,--$C268&lt;=--Campaign_Metadata_clean!$C$5),"IndieWave","No Campaign"))))</f>
        <v>No Campaign</v>
      </c>
      <c r="R268" t="str">
        <f t="shared" si="34"/>
        <v>Before</v>
      </c>
      <c r="S268" t="str">
        <f t="shared" si="35"/>
        <v/>
      </c>
      <c r="X268" s="47" t="str">
        <f>IFERROR(
_xlfn.XLOOKUP(Q268,
Campaign_Metadata_clean!A:A,
Campaign_Metadata_clean!B:B),
"")</f>
        <v/>
      </c>
      <c r="Y268" s="47" t="str">
        <f>IFERROR(
_xlfn.XLOOKUP(Q268,
Campaign_Metadata_clean!A:A,
Campaign_Metadata_clean!C:C),
"")</f>
        <v/>
      </c>
      <c r="Z268">
        <f t="shared" si="37"/>
        <v>0</v>
      </c>
      <c r="AA268">
        <f t="shared" si="38"/>
        <v>0</v>
      </c>
      <c r="AB268">
        <f t="shared" si="39"/>
        <v>0</v>
      </c>
    </row>
    <row r="269" spans="1:28">
      <c r="A269" s="1" t="s">
        <v>308</v>
      </c>
      <c r="B269" s="1" t="s">
        <v>31</v>
      </c>
      <c r="C269" s="46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21</v>
      </c>
      <c r="M269" s="1" t="s">
        <v>45</v>
      </c>
      <c r="N269" s="13">
        <f t="shared" si="36"/>
        <v>7.3202671439172376E-2</v>
      </c>
      <c r="O269">
        <f t="shared" si="32"/>
        <v>193</v>
      </c>
      <c r="P269">
        <f t="shared" si="33"/>
        <v>3354</v>
      </c>
      <c r="Q269" t="str">
        <f>IF(AND(--$C269&gt;=--Campaign_Metadata_clean!$B$2,--$C269&lt;=--Campaign_Metadata_clean!$C$2),"SummerBeats",
IF(AND(--$C269&gt;=--Campaign_Metadata_clean!$B$3,--$C269&lt;=--Campaign_Metadata_clean!$C$3),"Wrapped2024",
IF(AND(--$C269&gt;=--Campaign_Metadata_clean!$B$4,--$C269&lt;=--Campaign_Metadata_clean!$C$4),"ChillVibes",
IF(AND(--$C269&gt;=--Campaign_Metadata_clean!$B$5,--$C269&lt;=--Campaign_Metadata_clean!$C$5),"IndieWave","No Campaign"))))</f>
        <v>No Campaign</v>
      </c>
      <c r="R269" t="str">
        <f t="shared" si="34"/>
        <v>Before</v>
      </c>
      <c r="S269" t="str">
        <f t="shared" si="35"/>
        <v/>
      </c>
      <c r="X269" s="47" t="str">
        <f>IFERROR(
_xlfn.XLOOKUP(Q269,
Campaign_Metadata_clean!A:A,
Campaign_Metadata_clean!B:B),
"")</f>
        <v/>
      </c>
      <c r="Y269" s="47" t="str">
        <f>IFERROR(
_xlfn.XLOOKUP(Q269,
Campaign_Metadata_clean!A:A,
Campaign_Metadata_clean!C:C),
"")</f>
        <v/>
      </c>
      <c r="Z269">
        <f t="shared" si="37"/>
        <v>0</v>
      </c>
      <c r="AA269">
        <f t="shared" si="38"/>
        <v>0</v>
      </c>
      <c r="AB269">
        <f t="shared" si="39"/>
        <v>0</v>
      </c>
    </row>
    <row r="270" spans="1:28">
      <c r="A270" s="1" t="s">
        <v>309</v>
      </c>
      <c r="B270" s="1" t="s">
        <v>31</v>
      </c>
      <c r="C270" s="46">
        <v>45464</v>
      </c>
      <c r="D270" s="1" t="s">
        <v>57</v>
      </c>
      <c r="E270" s="1" t="s">
        <v>375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21</v>
      </c>
      <c r="M270" s="1" t="s">
        <v>45</v>
      </c>
      <c r="N270" s="13">
        <f t="shared" si="36"/>
        <v>9.2893873181347508E-2</v>
      </c>
      <c r="O270">
        <f t="shared" si="32"/>
        <v>129</v>
      </c>
      <c r="P270">
        <f t="shared" si="33"/>
        <v>5293</v>
      </c>
      <c r="Q270" t="str">
        <f>IF(AND(--$C270&gt;=--Campaign_Metadata_clean!$B$2,--$C270&lt;=--Campaign_Metadata_clean!$C$2),"SummerBeats",
IF(AND(--$C270&gt;=--Campaign_Metadata_clean!$B$3,--$C270&lt;=--Campaign_Metadata_clean!$C$3),"Wrapped2024",
IF(AND(--$C270&gt;=--Campaign_Metadata_clean!$B$4,--$C270&lt;=--Campaign_Metadata_clean!$C$4),"ChillVibes",
IF(AND(--$C270&gt;=--Campaign_Metadata_clean!$B$5,--$C270&lt;=--Campaign_Metadata_clean!$C$5),"IndieWave","No Campaign"))))</f>
        <v>SummerBeats</v>
      </c>
      <c r="R270" t="str">
        <f t="shared" si="34"/>
        <v>Before</v>
      </c>
      <c r="S270" t="str">
        <f t="shared" si="35"/>
        <v>During</v>
      </c>
      <c r="X270" s="47">
        <f>IFERROR(
_xlfn.XLOOKUP(Q270,
Campaign_Metadata_clean!A:A,
Campaign_Metadata_clean!B:B),
"")</f>
        <v>45458</v>
      </c>
      <c r="Y270" s="47">
        <f>IFERROR(
_xlfn.XLOOKUP(Q270,
Campaign_Metadata_clean!A:A,
Campaign_Metadata_clean!C:C),
"")</f>
        <v>45488</v>
      </c>
      <c r="Z270">
        <f t="shared" si="37"/>
        <v>7.7477551774674469E-2</v>
      </c>
      <c r="AA270">
        <f t="shared" si="38"/>
        <v>9.67495057607137E-2</v>
      </c>
      <c r="AB270">
        <f t="shared" ca="1" si="39"/>
        <v>0</v>
      </c>
    </row>
    <row r="271" spans="1:28">
      <c r="A271" s="1" t="s">
        <v>310</v>
      </c>
      <c r="B271" s="1" t="s">
        <v>24</v>
      </c>
      <c r="C271" s="46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21</v>
      </c>
      <c r="M271" s="1" t="s">
        <v>377</v>
      </c>
      <c r="N271" s="13">
        <f t="shared" si="36"/>
        <v>3.3603177027646251E-2</v>
      </c>
      <c r="O271">
        <f t="shared" si="32"/>
        <v>293</v>
      </c>
      <c r="P271">
        <f t="shared" si="33"/>
        <v>1980</v>
      </c>
      <c r="Q271" t="str">
        <f>IF(AND(--$C271&gt;=--Campaign_Metadata_clean!$B$2,--$C271&lt;=--Campaign_Metadata_clean!$C$2),"SummerBeats",
IF(AND(--$C271&gt;=--Campaign_Metadata_clean!$B$3,--$C271&lt;=--Campaign_Metadata_clean!$C$3),"Wrapped2024",
IF(AND(--$C271&gt;=--Campaign_Metadata_clean!$B$4,--$C271&lt;=--Campaign_Metadata_clean!$C$4),"ChillVibes",
IF(AND(--$C271&gt;=--Campaign_Metadata_clean!$B$5,--$C271&lt;=--Campaign_Metadata_clean!$C$5),"IndieWave","No Campaign"))))</f>
        <v>No Campaign</v>
      </c>
      <c r="R271" t="str">
        <f t="shared" si="34"/>
        <v>Before</v>
      </c>
      <c r="S271" t="str">
        <f t="shared" si="35"/>
        <v/>
      </c>
      <c r="X271" s="47" t="str">
        <f>IFERROR(
_xlfn.XLOOKUP(Q271,
Campaign_Metadata_clean!A:A,
Campaign_Metadata_clean!B:B),
"")</f>
        <v/>
      </c>
      <c r="Y271" s="47" t="str">
        <f>IFERROR(
_xlfn.XLOOKUP(Q271,
Campaign_Metadata_clean!A:A,
Campaign_Metadata_clean!C:C),
"")</f>
        <v/>
      </c>
      <c r="Z271">
        <f t="shared" si="37"/>
        <v>0</v>
      </c>
      <c r="AA271">
        <f t="shared" si="38"/>
        <v>0</v>
      </c>
      <c r="AB271">
        <f t="shared" si="39"/>
        <v>0</v>
      </c>
    </row>
    <row r="272" spans="1:28">
      <c r="A272" s="1" t="s">
        <v>311</v>
      </c>
      <c r="B272" s="1" t="s">
        <v>24</v>
      </c>
      <c r="C272" s="46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21</v>
      </c>
      <c r="M272" s="1" t="s">
        <v>377</v>
      </c>
      <c r="N272" s="13">
        <f t="shared" si="36"/>
        <v>0.14843585975225698</v>
      </c>
      <c r="O272">
        <f t="shared" si="32"/>
        <v>37</v>
      </c>
      <c r="P272">
        <f t="shared" si="33"/>
        <v>3535</v>
      </c>
      <c r="Q272" t="str">
        <f>IF(AND(--$C272&gt;=--Campaign_Metadata_clean!$B$2,--$C272&lt;=--Campaign_Metadata_clean!$C$2),"SummerBeats",
IF(AND(--$C272&gt;=--Campaign_Metadata_clean!$B$3,--$C272&lt;=--Campaign_Metadata_clean!$C$3),"Wrapped2024",
IF(AND(--$C272&gt;=--Campaign_Metadata_clean!$B$4,--$C272&lt;=--Campaign_Metadata_clean!$C$4),"ChillVibes",
IF(AND(--$C272&gt;=--Campaign_Metadata_clean!$B$5,--$C272&lt;=--Campaign_Metadata_clean!$C$5),"IndieWave","No Campaign"))))</f>
        <v>ChillVibes</v>
      </c>
      <c r="R272" t="str">
        <f t="shared" si="34"/>
        <v>During</v>
      </c>
      <c r="S272" t="str">
        <f t="shared" si="35"/>
        <v>During</v>
      </c>
      <c r="X272" s="47">
        <f>IFERROR(
_xlfn.XLOOKUP(Q272,
Campaign_Metadata_clean!A:A,
Campaign_Metadata_clean!B:B),
"")</f>
        <v>45667</v>
      </c>
      <c r="Y272" s="47">
        <f>IFERROR(
_xlfn.XLOOKUP(Q272,
Campaign_Metadata_clean!A:A,
Campaign_Metadata_clean!C:C),
"")</f>
        <v>45698</v>
      </c>
      <c r="Z272">
        <f t="shared" si="37"/>
        <v>0.10086311618757582</v>
      </c>
      <c r="AA272">
        <f t="shared" si="38"/>
        <v>0.10541160412718438</v>
      </c>
      <c r="AB272">
        <f t="shared" ca="1" si="39"/>
        <v>0</v>
      </c>
    </row>
    <row r="273" spans="1:28">
      <c r="A273" s="1" t="s">
        <v>312</v>
      </c>
      <c r="B273" s="1" t="s">
        <v>24</v>
      </c>
      <c r="C273" s="46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/>
      <c r="N273" s="13">
        <f t="shared" si="36"/>
        <v>5.1861351697967357E-2</v>
      </c>
      <c r="O273">
        <f t="shared" si="32"/>
        <v>249</v>
      </c>
      <c r="P273">
        <f t="shared" si="33"/>
        <v>2952</v>
      </c>
      <c r="Q273" t="str">
        <f>IF(AND(--$C273&gt;=--Campaign_Metadata_clean!$B$2,--$C273&lt;=--Campaign_Metadata_clean!$C$2),"SummerBeats",
IF(AND(--$C273&gt;=--Campaign_Metadata_clean!$B$3,--$C273&lt;=--Campaign_Metadata_clean!$C$3),"Wrapped2024",
IF(AND(--$C273&gt;=--Campaign_Metadata_clean!$B$4,--$C273&lt;=--Campaign_Metadata_clean!$C$4),"ChillVibes",
IF(AND(--$C273&gt;=--Campaign_Metadata_clean!$B$5,--$C273&lt;=--Campaign_Metadata_clean!$C$5),"IndieWave","No Campaign"))))</f>
        <v>No Campaign</v>
      </c>
      <c r="R273" t="str">
        <f t="shared" si="34"/>
        <v>Before</v>
      </c>
      <c r="S273" t="str">
        <f t="shared" si="35"/>
        <v/>
      </c>
      <c r="X273" s="47" t="str">
        <f>IFERROR(
_xlfn.XLOOKUP(Q273,
Campaign_Metadata_clean!A:A,
Campaign_Metadata_clean!B:B),
"")</f>
        <v/>
      </c>
      <c r="Y273" s="47" t="str">
        <f>IFERROR(
_xlfn.XLOOKUP(Q273,
Campaign_Metadata_clean!A:A,
Campaign_Metadata_clean!C:C),
"")</f>
        <v/>
      </c>
      <c r="Z273">
        <f t="shared" si="37"/>
        <v>0</v>
      </c>
      <c r="AA273">
        <f t="shared" si="38"/>
        <v>0</v>
      </c>
      <c r="AB273">
        <f t="shared" si="39"/>
        <v>0</v>
      </c>
    </row>
    <row r="274" spans="1:28">
      <c r="A274" s="1" t="s">
        <v>313</v>
      </c>
      <c r="B274" s="1" t="s">
        <v>24</v>
      </c>
      <c r="C274" s="46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/>
      <c r="N274" s="13">
        <f t="shared" si="36"/>
        <v>6.6160796354604659E-2</v>
      </c>
      <c r="O274">
        <f t="shared" si="32"/>
        <v>210</v>
      </c>
      <c r="P274">
        <f t="shared" si="33"/>
        <v>3383</v>
      </c>
      <c r="Q274" t="str">
        <f>IF(AND(--$C274&gt;=--Campaign_Metadata_clean!$B$2,--$C274&lt;=--Campaign_Metadata_clean!$C$2),"SummerBeats",
IF(AND(--$C274&gt;=--Campaign_Metadata_clean!$B$3,--$C274&lt;=--Campaign_Metadata_clean!$C$3),"Wrapped2024",
IF(AND(--$C274&gt;=--Campaign_Metadata_clean!$B$4,--$C274&lt;=--Campaign_Metadata_clean!$C$4),"ChillVibes",
IF(AND(--$C274&gt;=--Campaign_Metadata_clean!$B$5,--$C274&lt;=--Campaign_Metadata_clean!$C$5),"IndieWave","No Campaign"))))</f>
        <v>No Campaign</v>
      </c>
      <c r="R274" t="str">
        <f t="shared" si="34"/>
        <v>Before</v>
      </c>
      <c r="S274" t="str">
        <f t="shared" si="35"/>
        <v/>
      </c>
      <c r="X274" s="47" t="str">
        <f>IFERROR(
_xlfn.XLOOKUP(Q274,
Campaign_Metadata_clean!A:A,
Campaign_Metadata_clean!B:B),
"")</f>
        <v/>
      </c>
      <c r="Y274" s="47" t="str">
        <f>IFERROR(
_xlfn.XLOOKUP(Q274,
Campaign_Metadata_clean!A:A,
Campaign_Metadata_clean!C:C),
"")</f>
        <v/>
      </c>
      <c r="Z274">
        <f t="shared" si="37"/>
        <v>0</v>
      </c>
      <c r="AA274">
        <f t="shared" si="38"/>
        <v>0</v>
      </c>
      <c r="AB274">
        <f t="shared" si="39"/>
        <v>0</v>
      </c>
    </row>
    <row r="275" spans="1:28">
      <c r="A275" s="1" t="s">
        <v>314</v>
      </c>
      <c r="B275" s="1" t="s">
        <v>14</v>
      </c>
      <c r="C275" s="46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/>
      <c r="N275" s="13">
        <f t="shared" si="36"/>
        <v>5.4638246772740921E-2</v>
      </c>
      <c r="O275">
        <f t="shared" si="32"/>
        <v>237</v>
      </c>
      <c r="P275">
        <f t="shared" si="33"/>
        <v>2730</v>
      </c>
      <c r="Q275" t="str">
        <f>IF(AND(--$C275&gt;=--Campaign_Metadata_clean!$B$2,--$C275&lt;=--Campaign_Metadata_clean!$C$2),"SummerBeats",
IF(AND(--$C275&gt;=--Campaign_Metadata_clean!$B$3,--$C275&lt;=--Campaign_Metadata_clean!$C$3),"Wrapped2024",
IF(AND(--$C275&gt;=--Campaign_Metadata_clean!$B$4,--$C275&lt;=--Campaign_Metadata_clean!$C$4),"ChillVibes",
IF(AND(--$C275&gt;=--Campaign_Metadata_clean!$B$5,--$C275&lt;=--Campaign_Metadata_clean!$C$5),"IndieWave","No Campaign"))))</f>
        <v>No Campaign</v>
      </c>
      <c r="R275" t="str">
        <f t="shared" si="34"/>
        <v>Before</v>
      </c>
      <c r="S275" t="str">
        <f t="shared" si="35"/>
        <v/>
      </c>
      <c r="X275" s="47" t="str">
        <f>IFERROR(
_xlfn.XLOOKUP(Q275,
Campaign_Metadata_clean!A:A,
Campaign_Metadata_clean!B:B),
"")</f>
        <v/>
      </c>
      <c r="Y275" s="47" t="str">
        <f>IFERROR(
_xlfn.XLOOKUP(Q275,
Campaign_Metadata_clean!A:A,
Campaign_Metadata_clean!C:C),
"")</f>
        <v/>
      </c>
      <c r="Z275">
        <f t="shared" si="37"/>
        <v>0</v>
      </c>
      <c r="AA275">
        <f t="shared" si="38"/>
        <v>0</v>
      </c>
      <c r="AB275">
        <f t="shared" si="39"/>
        <v>0</v>
      </c>
    </row>
    <row r="276" spans="1:28">
      <c r="A276" s="1" t="s">
        <v>315</v>
      </c>
      <c r="B276" s="1" t="s">
        <v>14</v>
      </c>
      <c r="C276" s="46">
        <v>45341</v>
      </c>
      <c r="D276" s="1" t="s">
        <v>15</v>
      </c>
      <c r="E276" s="1" t="s">
        <v>376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/>
      <c r="N276" s="13">
        <f t="shared" si="36"/>
        <v>9.4139757389372969E-2</v>
      </c>
      <c r="O276">
        <f t="shared" si="32"/>
        <v>125</v>
      </c>
      <c r="P276">
        <f t="shared" si="33"/>
        <v>5510</v>
      </c>
      <c r="Q276" t="str">
        <f>IF(AND(--$C276&gt;=--Campaign_Metadata_clean!$B$2,--$C276&lt;=--Campaign_Metadata_clean!$C$2),"SummerBeats",
IF(AND(--$C276&gt;=--Campaign_Metadata_clean!$B$3,--$C276&lt;=--Campaign_Metadata_clean!$C$3),"Wrapped2024",
IF(AND(--$C276&gt;=--Campaign_Metadata_clean!$B$4,--$C276&lt;=--Campaign_Metadata_clean!$C$4),"ChillVibes",
IF(AND(--$C276&gt;=--Campaign_Metadata_clean!$B$5,--$C276&lt;=--Campaign_Metadata_clean!$C$5),"IndieWave","No Campaign"))))</f>
        <v>No Campaign</v>
      </c>
      <c r="R276" t="str">
        <f t="shared" si="34"/>
        <v>Before</v>
      </c>
      <c r="S276" t="str">
        <f t="shared" si="35"/>
        <v/>
      </c>
      <c r="X276" s="47" t="str">
        <f>IFERROR(
_xlfn.XLOOKUP(Q276,
Campaign_Metadata_clean!A:A,
Campaign_Metadata_clean!B:B),
"")</f>
        <v/>
      </c>
      <c r="Y276" s="47" t="str">
        <f>IFERROR(
_xlfn.XLOOKUP(Q276,
Campaign_Metadata_clean!A:A,
Campaign_Metadata_clean!C:C),
"")</f>
        <v/>
      </c>
      <c r="Z276">
        <f t="shared" si="37"/>
        <v>0</v>
      </c>
      <c r="AA276">
        <f t="shared" si="38"/>
        <v>0</v>
      </c>
      <c r="AB276">
        <f t="shared" si="39"/>
        <v>0</v>
      </c>
    </row>
    <row r="277" spans="1:28">
      <c r="A277" s="1" t="s">
        <v>316</v>
      </c>
      <c r="B277" s="1" t="s">
        <v>24</v>
      </c>
      <c r="C277" s="46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/>
      <c r="N277" s="13">
        <f t="shared" si="36"/>
        <v>5.7682545054573146E-2</v>
      </c>
      <c r="O277">
        <f t="shared" si="32"/>
        <v>231</v>
      </c>
      <c r="P277">
        <f t="shared" si="33"/>
        <v>2727</v>
      </c>
      <c r="Q277" t="str">
        <f>IF(AND(--$C277&gt;=--Campaign_Metadata_clean!$B$2,--$C277&lt;=--Campaign_Metadata_clean!$C$2),"SummerBeats",
IF(AND(--$C277&gt;=--Campaign_Metadata_clean!$B$3,--$C277&lt;=--Campaign_Metadata_clean!$C$3),"Wrapped2024",
IF(AND(--$C277&gt;=--Campaign_Metadata_clean!$B$4,--$C277&lt;=--Campaign_Metadata_clean!$C$4),"ChillVibes",
IF(AND(--$C277&gt;=--Campaign_Metadata_clean!$B$5,--$C277&lt;=--Campaign_Metadata_clean!$C$5),"IndieWave","No Campaign"))))</f>
        <v>IndieWave</v>
      </c>
      <c r="R277" t="str">
        <f t="shared" si="34"/>
        <v>Other</v>
      </c>
      <c r="S277" t="str">
        <f t="shared" si="35"/>
        <v>During</v>
      </c>
      <c r="X277" s="47">
        <f>IFERROR(
_xlfn.XLOOKUP(Q277,
Campaign_Metadata_clean!A:A,
Campaign_Metadata_clean!B:B),
"")</f>
        <v>45717</v>
      </c>
      <c r="Y277" s="47">
        <f>IFERROR(
_xlfn.XLOOKUP(Q277,
Campaign_Metadata_clean!A:A,
Campaign_Metadata_clean!C:C),
"")</f>
        <v>45747</v>
      </c>
      <c r="Z277">
        <f t="shared" si="37"/>
        <v>0.11058335030833821</v>
      </c>
      <c r="AA277">
        <f t="shared" si="38"/>
        <v>0.10264545756473814</v>
      </c>
      <c r="AB277">
        <f t="shared" ca="1" si="39"/>
        <v>0</v>
      </c>
    </row>
    <row r="278" spans="1:28">
      <c r="A278" s="1" t="s">
        <v>317</v>
      </c>
      <c r="B278" s="1" t="s">
        <v>14</v>
      </c>
      <c r="C278" s="46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/>
      <c r="N278" s="13">
        <f t="shared" si="36"/>
        <v>8.3972409065592737E-2</v>
      </c>
      <c r="O278">
        <f t="shared" si="32"/>
        <v>161</v>
      </c>
      <c r="P278">
        <f t="shared" si="33"/>
        <v>1960</v>
      </c>
      <c r="Q278" t="str">
        <f>IF(AND(--$C278&gt;=--Campaign_Metadata_clean!$B$2,--$C278&lt;=--Campaign_Metadata_clean!$C$2),"SummerBeats",
IF(AND(--$C278&gt;=--Campaign_Metadata_clean!$B$3,--$C278&lt;=--Campaign_Metadata_clean!$C$3),"Wrapped2024",
IF(AND(--$C278&gt;=--Campaign_Metadata_clean!$B$4,--$C278&lt;=--Campaign_Metadata_clean!$C$4),"ChillVibes",
IF(AND(--$C278&gt;=--Campaign_Metadata_clean!$B$5,--$C278&lt;=--Campaign_Metadata_clean!$C$5),"IndieWave","No Campaign"))))</f>
        <v>ChillVibes</v>
      </c>
      <c r="R278" t="str">
        <f t="shared" si="34"/>
        <v>During</v>
      </c>
      <c r="S278" t="str">
        <f t="shared" si="35"/>
        <v>During</v>
      </c>
      <c r="X278" s="47">
        <f>IFERROR(
_xlfn.XLOOKUP(Q278,
Campaign_Metadata_clean!A:A,
Campaign_Metadata_clean!B:B),
"")</f>
        <v>45667</v>
      </c>
      <c r="Y278" s="47">
        <f>IFERROR(
_xlfn.XLOOKUP(Q278,
Campaign_Metadata_clean!A:A,
Campaign_Metadata_clean!C:C),
"")</f>
        <v>45698</v>
      </c>
      <c r="Z278">
        <f t="shared" si="37"/>
        <v>0.10086311618757582</v>
      </c>
      <c r="AA278">
        <f t="shared" si="38"/>
        <v>0.10541160412718438</v>
      </c>
      <c r="AB278">
        <f t="shared" ca="1" si="39"/>
        <v>0</v>
      </c>
    </row>
    <row r="279" spans="1:28">
      <c r="A279" s="1" t="s">
        <v>318</v>
      </c>
      <c r="B279" s="1" t="s">
        <v>14</v>
      </c>
      <c r="C279" s="46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45</v>
      </c>
      <c r="M279" s="1" t="s">
        <v>42</v>
      </c>
      <c r="N279" s="13">
        <f t="shared" si="36"/>
        <v>6.6186514342481059E-2</v>
      </c>
      <c r="O279">
        <f t="shared" si="32"/>
        <v>209</v>
      </c>
      <c r="P279">
        <f t="shared" si="33"/>
        <v>3731</v>
      </c>
      <c r="Q279" t="str">
        <f>IF(AND(--$C279&gt;=--Campaign_Metadata_clean!$B$2,--$C279&lt;=--Campaign_Metadata_clean!$C$2),"SummerBeats",
IF(AND(--$C279&gt;=--Campaign_Metadata_clean!$B$3,--$C279&lt;=--Campaign_Metadata_clean!$C$3),"Wrapped2024",
IF(AND(--$C279&gt;=--Campaign_Metadata_clean!$B$4,--$C279&lt;=--Campaign_Metadata_clean!$C$4),"ChillVibes",
IF(AND(--$C279&gt;=--Campaign_Metadata_clean!$B$5,--$C279&lt;=--Campaign_Metadata_clean!$C$5),"IndieWave","No Campaign"))))</f>
        <v>Wrapped2024</v>
      </c>
      <c r="R279" t="str">
        <f t="shared" si="34"/>
        <v>Before</v>
      </c>
      <c r="S279" t="str">
        <f t="shared" si="35"/>
        <v>During</v>
      </c>
      <c r="X279" s="47">
        <f>IFERROR(
_xlfn.XLOOKUP(Q279,
Campaign_Metadata_clean!A:A,
Campaign_Metadata_clean!B:B),
"")</f>
        <v>45627</v>
      </c>
      <c r="Y279" s="47">
        <f>IFERROR(
_xlfn.XLOOKUP(Q279,
Campaign_Metadata_clean!A:A,
Campaign_Metadata_clean!C:C),
"")</f>
        <v>45657</v>
      </c>
      <c r="Z279">
        <f t="shared" si="37"/>
        <v>9.2680818872661358E-2</v>
      </c>
      <c r="AA279">
        <f t="shared" si="38"/>
        <v>9.9294724623054248E-2</v>
      </c>
      <c r="AB279">
        <f t="shared" ca="1" si="39"/>
        <v>0</v>
      </c>
    </row>
    <row r="280" spans="1:28">
      <c r="A280" s="1" t="s">
        <v>319</v>
      </c>
      <c r="B280" s="1" t="s">
        <v>24</v>
      </c>
      <c r="C280" s="46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45</v>
      </c>
      <c r="M280" s="1" t="s">
        <v>42</v>
      </c>
      <c r="N280" s="13">
        <f t="shared" si="36"/>
        <v>0.20445859872611466</v>
      </c>
      <c r="O280">
        <f t="shared" si="32"/>
        <v>4</v>
      </c>
      <c r="P280">
        <f t="shared" si="33"/>
        <v>4173</v>
      </c>
      <c r="Q280" t="str">
        <f>IF(AND(--$C280&gt;=--Campaign_Metadata_clean!$B$2,--$C280&lt;=--Campaign_Metadata_clean!$C$2),"SummerBeats",
IF(AND(--$C280&gt;=--Campaign_Metadata_clean!$B$3,--$C280&lt;=--Campaign_Metadata_clean!$C$3),"Wrapped2024",
IF(AND(--$C280&gt;=--Campaign_Metadata_clean!$B$4,--$C280&lt;=--Campaign_Metadata_clean!$C$4),"ChillVibes",
IF(AND(--$C280&gt;=--Campaign_Metadata_clean!$B$5,--$C280&lt;=--Campaign_Metadata_clean!$C$5),"IndieWave","No Campaign"))))</f>
        <v>ChillVibes</v>
      </c>
      <c r="R280" t="str">
        <f t="shared" si="34"/>
        <v>During</v>
      </c>
      <c r="S280" t="str">
        <f t="shared" si="35"/>
        <v>During</v>
      </c>
      <c r="X280" s="47">
        <f>IFERROR(
_xlfn.XLOOKUP(Q280,
Campaign_Metadata_clean!A:A,
Campaign_Metadata_clean!B:B),
"")</f>
        <v>45667</v>
      </c>
      <c r="Y280" s="47">
        <f>IFERROR(
_xlfn.XLOOKUP(Q280,
Campaign_Metadata_clean!A:A,
Campaign_Metadata_clean!C:C),
"")</f>
        <v>45698</v>
      </c>
      <c r="Z280">
        <f t="shared" si="37"/>
        <v>0.10086311618757582</v>
      </c>
      <c r="AA280">
        <f t="shared" si="38"/>
        <v>0.10541160412718438</v>
      </c>
      <c r="AB280">
        <f t="shared" ca="1" si="39"/>
        <v>0</v>
      </c>
    </row>
    <row r="281" spans="1:28">
      <c r="A281" s="1" t="s">
        <v>320</v>
      </c>
      <c r="B281" s="1" t="s">
        <v>24</v>
      </c>
      <c r="C281" s="46">
        <v>45563</v>
      </c>
      <c r="D281" s="1" t="s">
        <v>25</v>
      </c>
      <c r="E281" s="1" t="s">
        <v>376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21</v>
      </c>
      <c r="M281" s="1" t="s">
        <v>377</v>
      </c>
      <c r="N281" s="13">
        <f t="shared" si="36"/>
        <v>0.1122776514644911</v>
      </c>
      <c r="O281">
        <f t="shared" si="32"/>
        <v>77</v>
      </c>
      <c r="P281">
        <f t="shared" si="33"/>
        <v>5037</v>
      </c>
      <c r="Q281" t="str">
        <f>IF(AND(--$C281&gt;=--Campaign_Metadata_clean!$B$2,--$C281&lt;=--Campaign_Metadata_clean!$C$2),"SummerBeats",
IF(AND(--$C281&gt;=--Campaign_Metadata_clean!$B$3,--$C281&lt;=--Campaign_Metadata_clean!$C$3),"Wrapped2024",
IF(AND(--$C281&gt;=--Campaign_Metadata_clean!$B$4,--$C281&lt;=--Campaign_Metadata_clean!$C$4),"ChillVibes",
IF(AND(--$C281&gt;=--Campaign_Metadata_clean!$B$5,--$C281&lt;=--Campaign_Metadata_clean!$C$5),"IndieWave","No Campaign"))))</f>
        <v>No Campaign</v>
      </c>
      <c r="R281" t="str">
        <f t="shared" si="34"/>
        <v>Before</v>
      </c>
      <c r="S281" t="str">
        <f t="shared" si="35"/>
        <v/>
      </c>
      <c r="X281" s="47" t="str">
        <f>IFERROR(
_xlfn.XLOOKUP(Q281,
Campaign_Metadata_clean!A:A,
Campaign_Metadata_clean!B:B),
"")</f>
        <v/>
      </c>
      <c r="Y281" s="47" t="str">
        <f>IFERROR(
_xlfn.XLOOKUP(Q281,
Campaign_Metadata_clean!A:A,
Campaign_Metadata_clean!C:C),
"")</f>
        <v/>
      </c>
      <c r="Z281">
        <f t="shared" si="37"/>
        <v>0</v>
      </c>
      <c r="AA281">
        <f t="shared" si="38"/>
        <v>0</v>
      </c>
      <c r="AB281">
        <f t="shared" si="39"/>
        <v>0</v>
      </c>
    </row>
    <row r="282" spans="1:28">
      <c r="A282" s="1" t="s">
        <v>321</v>
      </c>
      <c r="B282" s="1" t="s">
        <v>14</v>
      </c>
      <c r="C282" s="46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45</v>
      </c>
      <c r="M282" s="1" t="s">
        <v>42</v>
      </c>
      <c r="N282" s="13">
        <f t="shared" si="36"/>
        <v>9.8640235621946709E-2</v>
      </c>
      <c r="O282">
        <f t="shared" si="32"/>
        <v>110</v>
      </c>
      <c r="P282">
        <f t="shared" si="33"/>
        <v>5593</v>
      </c>
      <c r="Q282" t="str">
        <f>IF(AND(--$C282&gt;=--Campaign_Metadata_clean!$B$2,--$C282&lt;=--Campaign_Metadata_clean!$C$2),"SummerBeats",
IF(AND(--$C282&gt;=--Campaign_Metadata_clean!$B$3,--$C282&lt;=--Campaign_Metadata_clean!$C$3),"Wrapped2024",
IF(AND(--$C282&gt;=--Campaign_Metadata_clean!$B$4,--$C282&lt;=--Campaign_Metadata_clean!$C$4),"ChillVibes",
IF(AND(--$C282&gt;=--Campaign_Metadata_clean!$B$5,--$C282&lt;=--Campaign_Metadata_clean!$C$5),"IndieWave","No Campaign"))))</f>
        <v>No Campaign</v>
      </c>
      <c r="R282" t="str">
        <f t="shared" si="34"/>
        <v>Before</v>
      </c>
      <c r="S282" t="str">
        <f t="shared" si="35"/>
        <v/>
      </c>
      <c r="X282" s="47" t="str">
        <f>IFERROR(
_xlfn.XLOOKUP(Q282,
Campaign_Metadata_clean!A:A,
Campaign_Metadata_clean!B:B),
"")</f>
        <v/>
      </c>
      <c r="Y282" s="47" t="str">
        <f>IFERROR(
_xlfn.XLOOKUP(Q282,
Campaign_Metadata_clean!A:A,
Campaign_Metadata_clean!C:C),
"")</f>
        <v/>
      </c>
      <c r="Z282">
        <f t="shared" si="37"/>
        <v>0</v>
      </c>
      <c r="AA282">
        <f t="shared" si="38"/>
        <v>0</v>
      </c>
      <c r="AB282">
        <f t="shared" si="39"/>
        <v>0</v>
      </c>
    </row>
    <row r="283" spans="1:28">
      <c r="A283" s="1" t="s">
        <v>322</v>
      </c>
      <c r="B283" s="1" t="s">
        <v>24</v>
      </c>
      <c r="C283" s="46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377</v>
      </c>
      <c r="M283" s="1" t="s">
        <v>42</v>
      </c>
      <c r="N283" s="13">
        <f t="shared" si="36"/>
        <v>5.4576862557296296E-2</v>
      </c>
      <c r="O283">
        <f t="shared" si="32"/>
        <v>239</v>
      </c>
      <c r="P283">
        <f t="shared" si="33"/>
        <v>3191</v>
      </c>
      <c r="Q283" t="str">
        <f>IF(AND(--$C283&gt;=--Campaign_Metadata_clean!$B$2,--$C283&lt;=--Campaign_Metadata_clean!$C$2),"SummerBeats",
IF(AND(--$C283&gt;=--Campaign_Metadata_clean!$B$3,--$C283&lt;=--Campaign_Metadata_clean!$C$3),"Wrapped2024",
IF(AND(--$C283&gt;=--Campaign_Metadata_clean!$B$4,--$C283&lt;=--Campaign_Metadata_clean!$C$4),"ChillVibes",
IF(AND(--$C283&gt;=--Campaign_Metadata_clean!$B$5,--$C283&lt;=--Campaign_Metadata_clean!$C$5),"IndieWave","No Campaign"))))</f>
        <v>No Campaign</v>
      </c>
      <c r="R283" t="str">
        <f t="shared" si="34"/>
        <v>Before</v>
      </c>
      <c r="S283" t="str">
        <f t="shared" si="35"/>
        <v/>
      </c>
      <c r="X283" s="47" t="str">
        <f>IFERROR(
_xlfn.XLOOKUP(Q283,
Campaign_Metadata_clean!A:A,
Campaign_Metadata_clean!B:B),
"")</f>
        <v/>
      </c>
      <c r="Y283" s="47" t="str">
        <f>IFERROR(
_xlfn.XLOOKUP(Q283,
Campaign_Metadata_clean!A:A,
Campaign_Metadata_clean!C:C),
"")</f>
        <v/>
      </c>
      <c r="Z283">
        <f t="shared" si="37"/>
        <v>0</v>
      </c>
      <c r="AA283">
        <f t="shared" si="38"/>
        <v>0</v>
      </c>
      <c r="AB283">
        <f t="shared" si="39"/>
        <v>0</v>
      </c>
    </row>
    <row r="284" spans="1:28">
      <c r="A284" s="1" t="s">
        <v>323</v>
      </c>
      <c r="B284" s="1" t="s">
        <v>14</v>
      </c>
      <c r="C284" s="46">
        <v>45531</v>
      </c>
      <c r="D284" s="1" t="s">
        <v>15</v>
      </c>
      <c r="E284" s="1" t="s">
        <v>375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/>
      <c r="N284" s="13">
        <f t="shared" si="36"/>
        <v>8.628318584070796E-2</v>
      </c>
      <c r="O284">
        <f t="shared" si="32"/>
        <v>151</v>
      </c>
      <c r="P284">
        <f t="shared" si="33"/>
        <v>4836</v>
      </c>
      <c r="Q284" t="str">
        <f>IF(AND(--$C284&gt;=--Campaign_Metadata_clean!$B$2,--$C284&lt;=--Campaign_Metadata_clean!$C$2),"SummerBeats",
IF(AND(--$C284&gt;=--Campaign_Metadata_clean!$B$3,--$C284&lt;=--Campaign_Metadata_clean!$C$3),"Wrapped2024",
IF(AND(--$C284&gt;=--Campaign_Metadata_clean!$B$4,--$C284&lt;=--Campaign_Metadata_clean!$C$4),"ChillVibes",
IF(AND(--$C284&gt;=--Campaign_Metadata_clean!$B$5,--$C284&lt;=--Campaign_Metadata_clean!$C$5),"IndieWave","No Campaign"))))</f>
        <v>No Campaign</v>
      </c>
      <c r="R284" t="str">
        <f t="shared" si="34"/>
        <v>Before</v>
      </c>
      <c r="S284" t="str">
        <f t="shared" si="35"/>
        <v/>
      </c>
      <c r="X284" s="47" t="str">
        <f>IFERROR(
_xlfn.XLOOKUP(Q284,
Campaign_Metadata_clean!A:A,
Campaign_Metadata_clean!B:B),
"")</f>
        <v/>
      </c>
      <c r="Y284" s="47" t="str">
        <f>IFERROR(
_xlfn.XLOOKUP(Q284,
Campaign_Metadata_clean!A:A,
Campaign_Metadata_clean!C:C),
"")</f>
        <v/>
      </c>
      <c r="Z284">
        <f t="shared" si="37"/>
        <v>0</v>
      </c>
      <c r="AA284">
        <f t="shared" si="38"/>
        <v>0</v>
      </c>
      <c r="AB284">
        <f t="shared" si="39"/>
        <v>0</v>
      </c>
    </row>
    <row r="285" spans="1:28">
      <c r="A285" s="1" t="s">
        <v>324</v>
      </c>
      <c r="B285" s="1" t="s">
        <v>14</v>
      </c>
      <c r="C285" s="46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/>
      <c r="N285" s="13">
        <f t="shared" si="36"/>
        <v>8.4056399132321047E-2</v>
      </c>
      <c r="O285">
        <f t="shared" si="32"/>
        <v>160</v>
      </c>
      <c r="P285">
        <f t="shared" si="33"/>
        <v>2325</v>
      </c>
      <c r="Q285" t="str">
        <f>IF(AND(--$C285&gt;=--Campaign_Metadata_clean!$B$2,--$C285&lt;=--Campaign_Metadata_clean!$C$2),"SummerBeats",
IF(AND(--$C285&gt;=--Campaign_Metadata_clean!$B$3,--$C285&lt;=--Campaign_Metadata_clean!$C$3),"Wrapped2024",
IF(AND(--$C285&gt;=--Campaign_Metadata_clean!$B$4,--$C285&lt;=--Campaign_Metadata_clean!$C$4),"ChillVibes",
IF(AND(--$C285&gt;=--Campaign_Metadata_clean!$B$5,--$C285&lt;=--Campaign_Metadata_clean!$C$5),"IndieWave","No Campaign"))))</f>
        <v>No Campaign</v>
      </c>
      <c r="R285" t="str">
        <f t="shared" si="34"/>
        <v>Before</v>
      </c>
      <c r="S285" t="str">
        <f t="shared" si="35"/>
        <v/>
      </c>
      <c r="X285" s="47" t="str">
        <f>IFERROR(
_xlfn.XLOOKUP(Q285,
Campaign_Metadata_clean!A:A,
Campaign_Metadata_clean!B:B),
"")</f>
        <v/>
      </c>
      <c r="Y285" s="47" t="str">
        <f>IFERROR(
_xlfn.XLOOKUP(Q285,
Campaign_Metadata_clean!A:A,
Campaign_Metadata_clean!C:C),
"")</f>
        <v/>
      </c>
      <c r="Z285">
        <f t="shared" si="37"/>
        <v>0</v>
      </c>
      <c r="AA285">
        <f t="shared" si="38"/>
        <v>0</v>
      </c>
      <c r="AB285">
        <f t="shared" si="39"/>
        <v>0</v>
      </c>
    </row>
    <row r="286" spans="1:28">
      <c r="A286" s="1" t="s">
        <v>325</v>
      </c>
      <c r="B286" s="1" t="s">
        <v>31</v>
      </c>
      <c r="C286" s="46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21</v>
      </c>
      <c r="M286" s="1" t="s">
        <v>378</v>
      </c>
      <c r="N286" s="13">
        <f t="shared" si="36"/>
        <v>3.4229485151994379E-2</v>
      </c>
      <c r="O286">
        <f t="shared" si="32"/>
        <v>290</v>
      </c>
      <c r="P286">
        <f t="shared" si="33"/>
        <v>1948</v>
      </c>
      <c r="Q286" t="str">
        <f>IF(AND(--$C286&gt;=--Campaign_Metadata_clean!$B$2,--$C286&lt;=--Campaign_Metadata_clean!$C$2),"SummerBeats",
IF(AND(--$C286&gt;=--Campaign_Metadata_clean!$B$3,--$C286&lt;=--Campaign_Metadata_clean!$C$3),"Wrapped2024",
IF(AND(--$C286&gt;=--Campaign_Metadata_clean!$B$4,--$C286&lt;=--Campaign_Metadata_clean!$C$4),"ChillVibes",
IF(AND(--$C286&gt;=--Campaign_Metadata_clean!$B$5,--$C286&lt;=--Campaign_Metadata_clean!$C$5),"IndieWave","No Campaign"))))</f>
        <v>ChillVibes</v>
      </c>
      <c r="R286" t="str">
        <f t="shared" si="34"/>
        <v>During</v>
      </c>
      <c r="S286" t="str">
        <f t="shared" si="35"/>
        <v>During</v>
      </c>
      <c r="X286" s="47">
        <f>IFERROR(
_xlfn.XLOOKUP(Q286,
Campaign_Metadata_clean!A:A,
Campaign_Metadata_clean!B:B),
"")</f>
        <v>45667</v>
      </c>
      <c r="Y286" s="47">
        <f>IFERROR(
_xlfn.XLOOKUP(Q286,
Campaign_Metadata_clean!A:A,
Campaign_Metadata_clean!C:C),
"")</f>
        <v>45698</v>
      </c>
      <c r="Z286">
        <f t="shared" si="37"/>
        <v>0.10086311618757582</v>
      </c>
      <c r="AA286">
        <f t="shared" si="38"/>
        <v>0.10541160412718438</v>
      </c>
      <c r="AB286">
        <f t="shared" ca="1" si="39"/>
        <v>0</v>
      </c>
    </row>
    <row r="287" spans="1:28">
      <c r="A287" s="1" t="s">
        <v>326</v>
      </c>
      <c r="B287" s="1" t="s">
        <v>14</v>
      </c>
      <c r="C287" s="46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/>
      <c r="N287" s="13">
        <f t="shared" si="36"/>
        <v>0.11467469950680724</v>
      </c>
      <c r="O287">
        <f t="shared" si="32"/>
        <v>72</v>
      </c>
      <c r="P287">
        <f t="shared" si="33"/>
        <v>3883</v>
      </c>
      <c r="Q287" t="str">
        <f>IF(AND(--$C287&gt;=--Campaign_Metadata_clean!$B$2,--$C287&lt;=--Campaign_Metadata_clean!$C$2),"SummerBeats",
IF(AND(--$C287&gt;=--Campaign_Metadata_clean!$B$3,--$C287&lt;=--Campaign_Metadata_clean!$C$3),"Wrapped2024",
IF(AND(--$C287&gt;=--Campaign_Metadata_clean!$B$4,--$C287&lt;=--Campaign_Metadata_clean!$C$4),"ChillVibes",
IF(AND(--$C287&gt;=--Campaign_Metadata_clean!$B$5,--$C287&lt;=--Campaign_Metadata_clean!$C$5),"IndieWave","No Campaign"))))</f>
        <v>No Campaign</v>
      </c>
      <c r="R287" t="str">
        <f t="shared" si="34"/>
        <v>Before</v>
      </c>
      <c r="S287" t="str">
        <f t="shared" si="35"/>
        <v/>
      </c>
      <c r="X287" s="47" t="str">
        <f>IFERROR(
_xlfn.XLOOKUP(Q287,
Campaign_Metadata_clean!A:A,
Campaign_Metadata_clean!B:B),
"")</f>
        <v/>
      </c>
      <c r="Y287" s="47" t="str">
        <f>IFERROR(
_xlfn.XLOOKUP(Q287,
Campaign_Metadata_clean!A:A,
Campaign_Metadata_clean!C:C),
"")</f>
        <v/>
      </c>
      <c r="Z287">
        <f t="shared" si="37"/>
        <v>0</v>
      </c>
      <c r="AA287">
        <f t="shared" si="38"/>
        <v>0</v>
      </c>
      <c r="AB287">
        <f t="shared" si="39"/>
        <v>0</v>
      </c>
    </row>
    <row r="288" spans="1:28">
      <c r="A288" s="1" t="s">
        <v>327</v>
      </c>
      <c r="B288" s="1" t="s">
        <v>31</v>
      </c>
      <c r="C288" s="46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21</v>
      </c>
      <c r="M288" s="1" t="s">
        <v>378</v>
      </c>
      <c r="N288" s="13">
        <f t="shared" si="36"/>
        <v>8.4548582664263475E-2</v>
      </c>
      <c r="O288">
        <f t="shared" si="32"/>
        <v>156</v>
      </c>
      <c r="P288">
        <f t="shared" si="33"/>
        <v>2580</v>
      </c>
      <c r="Q288" t="str">
        <f>IF(AND(--$C288&gt;=--Campaign_Metadata_clean!$B$2,--$C288&lt;=--Campaign_Metadata_clean!$C$2),"SummerBeats",
IF(AND(--$C288&gt;=--Campaign_Metadata_clean!$B$3,--$C288&lt;=--Campaign_Metadata_clean!$C$3),"Wrapped2024",
IF(AND(--$C288&gt;=--Campaign_Metadata_clean!$B$4,--$C288&lt;=--Campaign_Metadata_clean!$C$4),"ChillVibes",
IF(AND(--$C288&gt;=--Campaign_Metadata_clean!$B$5,--$C288&lt;=--Campaign_Metadata_clean!$C$5),"IndieWave","No Campaign"))))</f>
        <v>SummerBeats</v>
      </c>
      <c r="R288" t="str">
        <f t="shared" si="34"/>
        <v>Before</v>
      </c>
      <c r="S288" t="str">
        <f t="shared" si="35"/>
        <v>During</v>
      </c>
      <c r="X288" s="47">
        <f>IFERROR(
_xlfn.XLOOKUP(Q288,
Campaign_Metadata_clean!A:A,
Campaign_Metadata_clean!B:B),
"")</f>
        <v>45458</v>
      </c>
      <c r="Y288" s="47">
        <f>IFERROR(
_xlfn.XLOOKUP(Q288,
Campaign_Metadata_clean!A:A,
Campaign_Metadata_clean!C:C),
"")</f>
        <v>45488</v>
      </c>
      <c r="Z288">
        <f t="shared" si="37"/>
        <v>7.7477551774674469E-2</v>
      </c>
      <c r="AA288">
        <f t="shared" si="38"/>
        <v>9.67495057607137E-2</v>
      </c>
      <c r="AB288">
        <f t="shared" ca="1" si="39"/>
        <v>0</v>
      </c>
    </row>
    <row r="289" spans="1:28">
      <c r="A289" s="1" t="s">
        <v>328</v>
      </c>
      <c r="B289" s="1" t="s">
        <v>24</v>
      </c>
      <c r="C289" s="46">
        <v>45513</v>
      </c>
      <c r="D289" s="1" t="s">
        <v>25</v>
      </c>
      <c r="E289" s="1" t="s">
        <v>374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21</v>
      </c>
      <c r="M289" s="1" t="s">
        <v>377</v>
      </c>
      <c r="N289" s="13">
        <f t="shared" si="36"/>
        <v>0.10546200140489435</v>
      </c>
      <c r="O289">
        <f t="shared" si="32"/>
        <v>98</v>
      </c>
      <c r="P289">
        <f t="shared" si="33"/>
        <v>5555</v>
      </c>
      <c r="Q289" t="str">
        <f>IF(AND(--$C289&gt;=--Campaign_Metadata_clean!$B$2,--$C289&lt;=--Campaign_Metadata_clean!$C$2),"SummerBeats",
IF(AND(--$C289&gt;=--Campaign_Metadata_clean!$B$3,--$C289&lt;=--Campaign_Metadata_clean!$C$3),"Wrapped2024",
IF(AND(--$C289&gt;=--Campaign_Metadata_clean!$B$4,--$C289&lt;=--Campaign_Metadata_clean!$C$4),"ChillVibes",
IF(AND(--$C289&gt;=--Campaign_Metadata_clean!$B$5,--$C289&lt;=--Campaign_Metadata_clean!$C$5),"IndieWave","No Campaign"))))</f>
        <v>No Campaign</v>
      </c>
      <c r="R289" t="str">
        <f t="shared" si="34"/>
        <v>Before</v>
      </c>
      <c r="S289" t="str">
        <f t="shared" si="35"/>
        <v/>
      </c>
      <c r="X289" s="47" t="str">
        <f>IFERROR(
_xlfn.XLOOKUP(Q289,
Campaign_Metadata_clean!A:A,
Campaign_Metadata_clean!B:B),
"")</f>
        <v/>
      </c>
      <c r="Y289" s="47" t="str">
        <f>IFERROR(
_xlfn.XLOOKUP(Q289,
Campaign_Metadata_clean!A:A,
Campaign_Metadata_clean!C:C),
"")</f>
        <v/>
      </c>
      <c r="Z289">
        <f t="shared" si="37"/>
        <v>0</v>
      </c>
      <c r="AA289">
        <f t="shared" si="38"/>
        <v>0</v>
      </c>
      <c r="AB289">
        <f t="shared" si="39"/>
        <v>0</v>
      </c>
    </row>
    <row r="290" spans="1:28">
      <c r="A290" s="1" t="s">
        <v>329</v>
      </c>
      <c r="B290" s="1" t="s">
        <v>14</v>
      </c>
      <c r="C290" s="46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/>
      <c r="N290" s="13">
        <f t="shared" si="36"/>
        <v>0.10338095327488783</v>
      </c>
      <c r="O290">
        <f t="shared" si="32"/>
        <v>102</v>
      </c>
      <c r="P290">
        <f t="shared" si="33"/>
        <v>5507</v>
      </c>
      <c r="Q290" t="str">
        <f>IF(AND(--$C290&gt;=--Campaign_Metadata_clean!$B$2,--$C290&lt;=--Campaign_Metadata_clean!$C$2),"SummerBeats",
IF(AND(--$C290&gt;=--Campaign_Metadata_clean!$B$3,--$C290&lt;=--Campaign_Metadata_clean!$C$3),"Wrapped2024",
IF(AND(--$C290&gt;=--Campaign_Metadata_clean!$B$4,--$C290&lt;=--Campaign_Metadata_clean!$C$4),"ChillVibes",
IF(AND(--$C290&gt;=--Campaign_Metadata_clean!$B$5,--$C290&lt;=--Campaign_Metadata_clean!$C$5),"IndieWave","No Campaign"))))</f>
        <v>ChillVibes</v>
      </c>
      <c r="R290" t="str">
        <f t="shared" si="34"/>
        <v>During</v>
      </c>
      <c r="S290" t="str">
        <f t="shared" si="35"/>
        <v>During</v>
      </c>
      <c r="X290" s="47">
        <f>IFERROR(
_xlfn.XLOOKUP(Q290,
Campaign_Metadata_clean!A:A,
Campaign_Metadata_clean!B:B),
"")</f>
        <v>45667</v>
      </c>
      <c r="Y290" s="47">
        <f>IFERROR(
_xlfn.XLOOKUP(Q290,
Campaign_Metadata_clean!A:A,
Campaign_Metadata_clean!C:C),
"")</f>
        <v>45698</v>
      </c>
      <c r="Z290">
        <f t="shared" si="37"/>
        <v>0.10086311618757582</v>
      </c>
      <c r="AA290">
        <f t="shared" si="38"/>
        <v>0.10541160412718438</v>
      </c>
      <c r="AB290">
        <f t="shared" ca="1" si="39"/>
        <v>0</v>
      </c>
    </row>
    <row r="291" spans="1:28">
      <c r="A291" s="1" t="s">
        <v>330</v>
      </c>
      <c r="B291" s="1" t="s">
        <v>24</v>
      </c>
      <c r="C291" s="46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/>
      <c r="N291" s="13">
        <f t="shared" si="36"/>
        <v>0.1565595352530614</v>
      </c>
      <c r="O291">
        <f t="shared" si="32"/>
        <v>31</v>
      </c>
      <c r="P291">
        <f t="shared" si="33"/>
        <v>3746</v>
      </c>
      <c r="Q291" t="str">
        <f>IF(AND(--$C291&gt;=--Campaign_Metadata_clean!$B$2,--$C291&lt;=--Campaign_Metadata_clean!$C$2),"SummerBeats",
IF(AND(--$C291&gt;=--Campaign_Metadata_clean!$B$3,--$C291&lt;=--Campaign_Metadata_clean!$C$3),"Wrapped2024",
IF(AND(--$C291&gt;=--Campaign_Metadata_clean!$B$4,--$C291&lt;=--Campaign_Metadata_clean!$C$4),"ChillVibes",
IF(AND(--$C291&gt;=--Campaign_Metadata_clean!$B$5,--$C291&lt;=--Campaign_Metadata_clean!$C$5),"IndieWave","No Campaign"))))</f>
        <v>No Campaign</v>
      </c>
      <c r="R291" t="str">
        <f t="shared" si="34"/>
        <v>Before</v>
      </c>
      <c r="S291" t="str">
        <f t="shared" si="35"/>
        <v/>
      </c>
      <c r="X291" s="47" t="str">
        <f>IFERROR(
_xlfn.XLOOKUP(Q291,
Campaign_Metadata_clean!A:A,
Campaign_Metadata_clean!B:B),
"")</f>
        <v/>
      </c>
      <c r="Y291" s="47" t="str">
        <f>IFERROR(
_xlfn.XLOOKUP(Q291,
Campaign_Metadata_clean!A:A,
Campaign_Metadata_clean!C:C),
"")</f>
        <v/>
      </c>
      <c r="Z291">
        <f t="shared" si="37"/>
        <v>0</v>
      </c>
      <c r="AA291">
        <f t="shared" si="38"/>
        <v>0</v>
      </c>
      <c r="AB291">
        <f t="shared" si="39"/>
        <v>0</v>
      </c>
    </row>
    <row r="292" spans="1:28">
      <c r="A292" s="1" t="s">
        <v>331</v>
      </c>
      <c r="B292" s="1" t="s">
        <v>14</v>
      </c>
      <c r="C292" s="46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45</v>
      </c>
      <c r="M292" s="1" t="s">
        <v>42</v>
      </c>
      <c r="N292" s="13">
        <f t="shared" si="36"/>
        <v>5.8052595393606049E-2</v>
      </c>
      <c r="O292">
        <f t="shared" si="32"/>
        <v>229</v>
      </c>
      <c r="P292">
        <f t="shared" si="33"/>
        <v>2702</v>
      </c>
      <c r="Q292" t="str">
        <f>IF(AND(--$C292&gt;=--Campaign_Metadata_clean!$B$2,--$C292&lt;=--Campaign_Metadata_clean!$C$2),"SummerBeats",
IF(AND(--$C292&gt;=--Campaign_Metadata_clean!$B$3,--$C292&lt;=--Campaign_Metadata_clean!$C$3),"Wrapped2024",
IF(AND(--$C292&gt;=--Campaign_Metadata_clean!$B$4,--$C292&lt;=--Campaign_Metadata_clean!$C$4),"ChillVibes",
IF(AND(--$C292&gt;=--Campaign_Metadata_clean!$B$5,--$C292&lt;=--Campaign_Metadata_clean!$C$5),"IndieWave","No Campaign"))))</f>
        <v>SummerBeats</v>
      </c>
      <c r="R292" t="str">
        <f t="shared" si="34"/>
        <v>Before</v>
      </c>
      <c r="S292" t="str">
        <f t="shared" si="35"/>
        <v>During</v>
      </c>
      <c r="X292" s="47">
        <f>IFERROR(
_xlfn.XLOOKUP(Q292,
Campaign_Metadata_clean!A:A,
Campaign_Metadata_clean!B:B),
"")</f>
        <v>45458</v>
      </c>
      <c r="Y292" s="47">
        <f>IFERROR(
_xlfn.XLOOKUP(Q292,
Campaign_Metadata_clean!A:A,
Campaign_Metadata_clean!C:C),
"")</f>
        <v>45488</v>
      </c>
      <c r="Z292">
        <f t="shared" si="37"/>
        <v>7.7477551774674469E-2</v>
      </c>
      <c r="AA292">
        <f t="shared" si="38"/>
        <v>9.67495057607137E-2</v>
      </c>
      <c r="AB292">
        <f t="shared" ca="1" si="39"/>
        <v>0</v>
      </c>
    </row>
    <row r="293" spans="1:28">
      <c r="A293" s="1" t="s">
        <v>332</v>
      </c>
      <c r="B293" s="1" t="s">
        <v>24</v>
      </c>
      <c r="C293" s="46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377</v>
      </c>
      <c r="M293" s="1" t="s">
        <v>42</v>
      </c>
      <c r="N293" s="13">
        <f t="shared" si="36"/>
        <v>0.12976726726726726</v>
      </c>
      <c r="O293">
        <f t="shared" si="32"/>
        <v>57</v>
      </c>
      <c r="P293">
        <f t="shared" si="33"/>
        <v>3457</v>
      </c>
      <c r="Q293" t="str">
        <f>IF(AND(--$C293&gt;=--Campaign_Metadata_clean!$B$2,--$C293&lt;=--Campaign_Metadata_clean!$C$2),"SummerBeats",
IF(AND(--$C293&gt;=--Campaign_Metadata_clean!$B$3,--$C293&lt;=--Campaign_Metadata_clean!$C$3),"Wrapped2024",
IF(AND(--$C293&gt;=--Campaign_Metadata_clean!$B$4,--$C293&lt;=--Campaign_Metadata_clean!$C$4),"ChillVibes",
IF(AND(--$C293&gt;=--Campaign_Metadata_clean!$B$5,--$C293&lt;=--Campaign_Metadata_clean!$C$5),"IndieWave","No Campaign"))))</f>
        <v>No Campaign</v>
      </c>
      <c r="R293" t="str">
        <f t="shared" si="34"/>
        <v>Before</v>
      </c>
      <c r="S293" t="str">
        <f t="shared" si="35"/>
        <v/>
      </c>
      <c r="X293" s="47" t="str">
        <f>IFERROR(
_xlfn.XLOOKUP(Q293,
Campaign_Metadata_clean!A:A,
Campaign_Metadata_clean!B:B),
"")</f>
        <v/>
      </c>
      <c r="Y293" s="47" t="str">
        <f>IFERROR(
_xlfn.XLOOKUP(Q293,
Campaign_Metadata_clean!A:A,
Campaign_Metadata_clean!C:C),
"")</f>
        <v/>
      </c>
      <c r="Z293">
        <f t="shared" si="37"/>
        <v>0</v>
      </c>
      <c r="AA293">
        <f t="shared" si="38"/>
        <v>0</v>
      </c>
      <c r="AB293">
        <f t="shared" si="39"/>
        <v>0</v>
      </c>
    </row>
    <row r="294" spans="1:28">
      <c r="A294" s="1" t="s">
        <v>333</v>
      </c>
      <c r="B294" s="1" t="s">
        <v>31</v>
      </c>
      <c r="C294" s="46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21</v>
      </c>
      <c r="M294" s="1" t="s">
        <v>45</v>
      </c>
      <c r="N294" s="13">
        <f t="shared" si="36"/>
        <v>4.4999031758326875E-2</v>
      </c>
      <c r="O294">
        <f t="shared" si="32"/>
        <v>266</v>
      </c>
      <c r="P294">
        <f t="shared" si="33"/>
        <v>1859</v>
      </c>
      <c r="Q294" t="str">
        <f>IF(AND(--$C294&gt;=--Campaign_Metadata_clean!$B$2,--$C294&lt;=--Campaign_Metadata_clean!$C$2),"SummerBeats",
IF(AND(--$C294&gt;=--Campaign_Metadata_clean!$B$3,--$C294&lt;=--Campaign_Metadata_clean!$C$3),"Wrapped2024",
IF(AND(--$C294&gt;=--Campaign_Metadata_clean!$B$4,--$C294&lt;=--Campaign_Metadata_clean!$C$4),"ChillVibes",
IF(AND(--$C294&gt;=--Campaign_Metadata_clean!$B$5,--$C294&lt;=--Campaign_Metadata_clean!$C$5),"IndieWave","No Campaign"))))</f>
        <v>No Campaign</v>
      </c>
      <c r="R294" t="str">
        <f t="shared" si="34"/>
        <v>Other</v>
      </c>
      <c r="S294" t="str">
        <f t="shared" si="35"/>
        <v/>
      </c>
      <c r="X294" s="47" t="str">
        <f>IFERROR(
_xlfn.XLOOKUP(Q294,
Campaign_Metadata_clean!A:A,
Campaign_Metadata_clean!B:B),
"")</f>
        <v/>
      </c>
      <c r="Y294" s="47" t="str">
        <f>IFERROR(
_xlfn.XLOOKUP(Q294,
Campaign_Metadata_clean!A:A,
Campaign_Metadata_clean!C:C),
"")</f>
        <v/>
      </c>
      <c r="Z294">
        <f t="shared" si="37"/>
        <v>0</v>
      </c>
      <c r="AA294">
        <f t="shared" si="38"/>
        <v>0</v>
      </c>
      <c r="AB294">
        <f t="shared" si="39"/>
        <v>0</v>
      </c>
    </row>
    <row r="295" spans="1:28">
      <c r="A295" s="1" t="s">
        <v>334</v>
      </c>
      <c r="B295" s="1" t="s">
        <v>14</v>
      </c>
      <c r="C295" s="46">
        <v>45653</v>
      </c>
      <c r="D295" s="1" t="s">
        <v>15</v>
      </c>
      <c r="E295" s="1" t="s">
        <v>374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/>
      <c r="N295" s="13">
        <f t="shared" si="36"/>
        <v>3.221173574066475E-2</v>
      </c>
      <c r="O295">
        <f t="shared" si="32"/>
        <v>294</v>
      </c>
      <c r="P295">
        <f t="shared" si="33"/>
        <v>1884</v>
      </c>
      <c r="Q295" t="str">
        <f>IF(AND(--$C295&gt;=--Campaign_Metadata_clean!$B$2,--$C295&lt;=--Campaign_Metadata_clean!$C$2),"SummerBeats",
IF(AND(--$C295&gt;=--Campaign_Metadata_clean!$B$3,--$C295&lt;=--Campaign_Metadata_clean!$C$3),"Wrapped2024",
IF(AND(--$C295&gt;=--Campaign_Metadata_clean!$B$4,--$C295&lt;=--Campaign_Metadata_clean!$C$4),"ChillVibes",
IF(AND(--$C295&gt;=--Campaign_Metadata_clean!$B$5,--$C295&lt;=--Campaign_Metadata_clean!$C$5),"IndieWave","No Campaign"))))</f>
        <v>Wrapped2024</v>
      </c>
      <c r="R295" t="str">
        <f t="shared" si="34"/>
        <v>Before</v>
      </c>
      <c r="S295" t="str">
        <f t="shared" si="35"/>
        <v>During</v>
      </c>
      <c r="X295" s="47">
        <f>IFERROR(
_xlfn.XLOOKUP(Q295,
Campaign_Metadata_clean!A:A,
Campaign_Metadata_clean!B:B),
"")</f>
        <v>45627</v>
      </c>
      <c r="Y295" s="47">
        <f>IFERROR(
_xlfn.XLOOKUP(Q295,
Campaign_Metadata_clean!A:A,
Campaign_Metadata_clean!C:C),
"")</f>
        <v>45657</v>
      </c>
      <c r="Z295">
        <f t="shared" si="37"/>
        <v>9.2680818872661358E-2</v>
      </c>
      <c r="AA295">
        <f t="shared" si="38"/>
        <v>9.9294724623054248E-2</v>
      </c>
      <c r="AB295">
        <f t="shared" ca="1" si="39"/>
        <v>0</v>
      </c>
    </row>
    <row r="296" spans="1:28">
      <c r="A296" s="1" t="s">
        <v>335</v>
      </c>
      <c r="B296" s="1" t="s">
        <v>14</v>
      </c>
      <c r="C296" s="46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/>
      <c r="N296" s="13">
        <f t="shared" si="36"/>
        <v>0.1109777812185492</v>
      </c>
      <c r="O296">
        <f t="shared" si="32"/>
        <v>80</v>
      </c>
      <c r="P296">
        <f t="shared" si="33"/>
        <v>2867</v>
      </c>
      <c r="Q296" t="str">
        <f>IF(AND(--$C296&gt;=--Campaign_Metadata_clean!$B$2,--$C296&lt;=--Campaign_Metadata_clean!$C$2),"SummerBeats",
IF(AND(--$C296&gt;=--Campaign_Metadata_clean!$B$3,--$C296&lt;=--Campaign_Metadata_clean!$C$3),"Wrapped2024",
IF(AND(--$C296&gt;=--Campaign_Metadata_clean!$B$4,--$C296&lt;=--Campaign_Metadata_clean!$C$4),"ChillVibes",
IF(AND(--$C296&gt;=--Campaign_Metadata_clean!$B$5,--$C296&lt;=--Campaign_Metadata_clean!$C$5),"IndieWave","No Campaign"))))</f>
        <v>IndieWave</v>
      </c>
      <c r="R296" t="str">
        <f t="shared" si="34"/>
        <v>Other</v>
      </c>
      <c r="S296" t="str">
        <f t="shared" si="35"/>
        <v>During</v>
      </c>
      <c r="X296" s="47">
        <f>IFERROR(
_xlfn.XLOOKUP(Q296,
Campaign_Metadata_clean!A:A,
Campaign_Metadata_clean!B:B),
"")</f>
        <v>45717</v>
      </c>
      <c r="Y296" s="47">
        <f>IFERROR(
_xlfn.XLOOKUP(Q296,
Campaign_Metadata_clean!A:A,
Campaign_Metadata_clean!C:C),
"")</f>
        <v>45747</v>
      </c>
      <c r="Z296">
        <f t="shared" si="37"/>
        <v>0.11058335030833821</v>
      </c>
      <c r="AA296">
        <f t="shared" si="38"/>
        <v>0.10264545756473814</v>
      </c>
      <c r="AB296">
        <f t="shared" ca="1" si="39"/>
        <v>0</v>
      </c>
    </row>
    <row r="297" spans="1:28">
      <c r="A297" s="1" t="s">
        <v>336</v>
      </c>
      <c r="B297" s="1" t="s">
        <v>24</v>
      </c>
      <c r="C297" s="46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377</v>
      </c>
      <c r="M297" s="1" t="s">
        <v>42</v>
      </c>
      <c r="N297" s="13">
        <f t="shared" si="36"/>
        <v>0.1191007493755204</v>
      </c>
      <c r="O297">
        <f t="shared" si="32"/>
        <v>65</v>
      </c>
      <c r="P297">
        <f t="shared" si="33"/>
        <v>3576</v>
      </c>
      <c r="Q297" t="str">
        <f>IF(AND(--$C297&gt;=--Campaign_Metadata_clean!$B$2,--$C297&lt;=--Campaign_Metadata_clean!$C$2),"SummerBeats",
IF(AND(--$C297&gt;=--Campaign_Metadata_clean!$B$3,--$C297&lt;=--Campaign_Metadata_clean!$C$3),"Wrapped2024",
IF(AND(--$C297&gt;=--Campaign_Metadata_clean!$B$4,--$C297&lt;=--Campaign_Metadata_clean!$C$4),"ChillVibes",
IF(AND(--$C297&gt;=--Campaign_Metadata_clean!$B$5,--$C297&lt;=--Campaign_Metadata_clean!$C$5),"IndieWave","No Campaign"))))</f>
        <v>IndieWave</v>
      </c>
      <c r="R297" t="str">
        <f t="shared" si="34"/>
        <v>Other</v>
      </c>
      <c r="S297" t="str">
        <f t="shared" si="35"/>
        <v>During</v>
      </c>
      <c r="X297" s="47">
        <f>IFERROR(
_xlfn.XLOOKUP(Q297,
Campaign_Metadata_clean!A:A,
Campaign_Metadata_clean!B:B),
"")</f>
        <v>45717</v>
      </c>
      <c r="Y297" s="47">
        <f>IFERROR(
_xlfn.XLOOKUP(Q297,
Campaign_Metadata_clean!A:A,
Campaign_Metadata_clean!C:C),
"")</f>
        <v>45747</v>
      </c>
      <c r="Z297">
        <f t="shared" si="37"/>
        <v>0.11058335030833821</v>
      </c>
      <c r="AA297">
        <f t="shared" si="38"/>
        <v>0.10264545756473814</v>
      </c>
      <c r="AB297">
        <f t="shared" ca="1" si="39"/>
        <v>0</v>
      </c>
    </row>
    <row r="298" spans="1:28">
      <c r="A298" s="1" t="s">
        <v>337</v>
      </c>
      <c r="B298" s="1" t="s">
        <v>24</v>
      </c>
      <c r="C298" s="46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/>
      <c r="N298" s="13">
        <f t="shared" si="36"/>
        <v>5.9775576027966085E-2</v>
      </c>
      <c r="O298">
        <f t="shared" si="32"/>
        <v>224</v>
      </c>
      <c r="P298">
        <f t="shared" si="33"/>
        <v>3095</v>
      </c>
      <c r="Q298" t="str">
        <f>IF(AND(--$C298&gt;=--Campaign_Metadata_clean!$B$2,--$C298&lt;=--Campaign_Metadata_clean!$C$2),"SummerBeats",
IF(AND(--$C298&gt;=--Campaign_Metadata_clean!$B$3,--$C298&lt;=--Campaign_Metadata_clean!$C$3),"Wrapped2024",
IF(AND(--$C298&gt;=--Campaign_Metadata_clean!$B$4,--$C298&lt;=--Campaign_Metadata_clean!$C$4),"ChillVibes",
IF(AND(--$C298&gt;=--Campaign_Metadata_clean!$B$5,--$C298&lt;=--Campaign_Metadata_clean!$C$5),"IndieWave","No Campaign"))))</f>
        <v>No Campaign</v>
      </c>
      <c r="R298" t="str">
        <f t="shared" si="34"/>
        <v>Before</v>
      </c>
      <c r="S298" t="str">
        <f t="shared" si="35"/>
        <v/>
      </c>
      <c r="X298" s="47" t="str">
        <f>IFERROR(
_xlfn.XLOOKUP(Q298,
Campaign_Metadata_clean!A:A,
Campaign_Metadata_clean!B:B),
"")</f>
        <v/>
      </c>
      <c r="Y298" s="47" t="str">
        <f>IFERROR(
_xlfn.XLOOKUP(Q298,
Campaign_Metadata_clean!A:A,
Campaign_Metadata_clean!C:C),
"")</f>
        <v/>
      </c>
      <c r="Z298">
        <f t="shared" si="37"/>
        <v>0</v>
      </c>
      <c r="AA298">
        <f t="shared" si="38"/>
        <v>0</v>
      </c>
      <c r="AB298">
        <f t="shared" si="39"/>
        <v>0</v>
      </c>
    </row>
    <row r="299" spans="1:28">
      <c r="A299" s="1" t="s">
        <v>338</v>
      </c>
      <c r="B299" s="1" t="s">
        <v>24</v>
      </c>
      <c r="C299" s="46">
        <v>45838</v>
      </c>
      <c r="D299" s="1" t="s">
        <v>15</v>
      </c>
      <c r="E299" s="1" t="s">
        <v>373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/>
      <c r="N299" s="13">
        <f t="shared" si="36"/>
        <v>6.1064362065044349E-2</v>
      </c>
      <c r="O299">
        <f t="shared" si="32"/>
        <v>221</v>
      </c>
      <c r="P299">
        <f t="shared" si="33"/>
        <v>2685</v>
      </c>
      <c r="Q299" t="str">
        <f>IF(AND(--$C299&gt;=--Campaign_Metadata_clean!$B$2,--$C299&lt;=--Campaign_Metadata_clean!$C$2),"SummerBeats",
IF(AND(--$C299&gt;=--Campaign_Metadata_clean!$B$3,--$C299&lt;=--Campaign_Metadata_clean!$C$3),"Wrapped2024",
IF(AND(--$C299&gt;=--Campaign_Metadata_clean!$B$4,--$C299&lt;=--Campaign_Metadata_clean!$C$4),"ChillVibes",
IF(AND(--$C299&gt;=--Campaign_Metadata_clean!$B$5,--$C299&lt;=--Campaign_Metadata_clean!$C$5),"IndieWave","No Campaign"))))</f>
        <v>No Campaign</v>
      </c>
      <c r="R299" t="str">
        <f t="shared" si="34"/>
        <v>Other</v>
      </c>
      <c r="S299" t="str">
        <f t="shared" si="35"/>
        <v/>
      </c>
      <c r="X299" s="47" t="str">
        <f>IFERROR(
_xlfn.XLOOKUP(Q299,
Campaign_Metadata_clean!A:A,
Campaign_Metadata_clean!B:B),
"")</f>
        <v/>
      </c>
      <c r="Y299" s="47" t="str">
        <f>IFERROR(
_xlfn.XLOOKUP(Q299,
Campaign_Metadata_clean!A:A,
Campaign_Metadata_clean!C:C),
"")</f>
        <v/>
      </c>
      <c r="Z299">
        <f t="shared" si="37"/>
        <v>0</v>
      </c>
      <c r="AA299">
        <f t="shared" si="38"/>
        <v>0</v>
      </c>
      <c r="AB299">
        <f t="shared" si="39"/>
        <v>0</v>
      </c>
    </row>
    <row r="300" spans="1:28">
      <c r="A300" s="1" t="s">
        <v>339</v>
      </c>
      <c r="B300" s="1" t="s">
        <v>24</v>
      </c>
      <c r="C300" s="46">
        <v>45303</v>
      </c>
      <c r="D300" s="1" t="s">
        <v>25</v>
      </c>
      <c r="E300" s="1" t="s">
        <v>376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21</v>
      </c>
      <c r="M300" s="1" t="s">
        <v>377</v>
      </c>
      <c r="N300" s="13">
        <f t="shared" si="36"/>
        <v>5.5797564422760453E-2</v>
      </c>
      <c r="O300">
        <f t="shared" si="32"/>
        <v>235</v>
      </c>
      <c r="P300">
        <f t="shared" si="33"/>
        <v>2882</v>
      </c>
      <c r="Q300" t="str">
        <f>IF(AND(--$C300&gt;=--Campaign_Metadata_clean!$B$2,--$C300&lt;=--Campaign_Metadata_clean!$C$2),"SummerBeats",
IF(AND(--$C300&gt;=--Campaign_Metadata_clean!$B$3,--$C300&lt;=--Campaign_Metadata_clean!$C$3),"Wrapped2024",
IF(AND(--$C300&gt;=--Campaign_Metadata_clean!$B$4,--$C300&lt;=--Campaign_Metadata_clean!$C$4),"ChillVibes",
IF(AND(--$C300&gt;=--Campaign_Metadata_clean!$B$5,--$C300&lt;=--Campaign_Metadata_clean!$C$5),"IndieWave","No Campaign"))))</f>
        <v>No Campaign</v>
      </c>
      <c r="R300" t="str">
        <f t="shared" si="34"/>
        <v>Before</v>
      </c>
      <c r="S300" t="str">
        <f t="shared" si="35"/>
        <v/>
      </c>
      <c r="X300" s="47" t="str">
        <f>IFERROR(
_xlfn.XLOOKUP(Q300,
Campaign_Metadata_clean!A:A,
Campaign_Metadata_clean!B:B),
"")</f>
        <v/>
      </c>
      <c r="Y300" s="47" t="str">
        <f>IFERROR(
_xlfn.XLOOKUP(Q300,
Campaign_Metadata_clean!A:A,
Campaign_Metadata_clean!C:C),
"")</f>
        <v/>
      </c>
      <c r="Z300">
        <f t="shared" si="37"/>
        <v>0</v>
      </c>
      <c r="AA300">
        <f t="shared" si="38"/>
        <v>0</v>
      </c>
      <c r="AB300">
        <f t="shared" si="39"/>
        <v>0</v>
      </c>
    </row>
    <row r="301" spans="1:28">
      <c r="A301" s="1" t="s">
        <v>340</v>
      </c>
      <c r="B301" s="1" t="s">
        <v>14</v>
      </c>
      <c r="C301" s="46">
        <v>45329</v>
      </c>
      <c r="D301" s="1" t="s">
        <v>15</v>
      </c>
      <c r="E301" s="1" t="s">
        <v>375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45</v>
      </c>
      <c r="M301" s="1" t="s">
        <v>42</v>
      </c>
      <c r="N301" s="13">
        <f t="shared" si="36"/>
        <v>9.4300914496331587E-2</v>
      </c>
      <c r="O301">
        <f t="shared" si="32"/>
        <v>123</v>
      </c>
      <c r="P301">
        <f t="shared" si="33"/>
        <v>2712</v>
      </c>
      <c r="Q301" t="str">
        <f>IF(AND(--$C301&gt;=--Campaign_Metadata_clean!$B$2,--$C301&lt;=--Campaign_Metadata_clean!$C$2),"SummerBeats",
IF(AND(--$C301&gt;=--Campaign_Metadata_clean!$B$3,--$C301&lt;=--Campaign_Metadata_clean!$C$3),"Wrapped2024",
IF(AND(--$C301&gt;=--Campaign_Metadata_clean!$B$4,--$C301&lt;=--Campaign_Metadata_clean!$C$4),"ChillVibes",
IF(AND(--$C301&gt;=--Campaign_Metadata_clean!$B$5,--$C301&lt;=--Campaign_Metadata_clean!$C$5),"IndieWave","No Campaign"))))</f>
        <v>No Campaign</v>
      </c>
      <c r="R301" t="str">
        <f t="shared" si="34"/>
        <v>Before</v>
      </c>
      <c r="S301" t="str">
        <f t="shared" si="35"/>
        <v/>
      </c>
      <c r="X301" s="47" t="str">
        <f>IFERROR(
_xlfn.XLOOKUP(Q301,
Campaign_Metadata_clean!A:A,
Campaign_Metadata_clean!B:B),
"")</f>
        <v/>
      </c>
      <c r="Y301" s="47" t="str">
        <f>IFERROR(
_xlfn.XLOOKUP(Q301,
Campaign_Metadata_clean!A:A,
Campaign_Metadata_clean!C:C),
"")</f>
        <v/>
      </c>
      <c r="Z301">
        <f t="shared" si="37"/>
        <v>0</v>
      </c>
      <c r="AA301">
        <f t="shared" si="38"/>
        <v>0</v>
      </c>
      <c r="AB301">
        <f t="shared" si="39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A135-3AD8-4E1F-99B8-07AAD21AB901}">
  <dimension ref="A1:M201"/>
  <sheetViews>
    <sheetView zoomScale="70" zoomScaleNormal="70" workbookViewId="0">
      <selection activeCell="M2" sqref="M2"/>
    </sheetView>
  </sheetViews>
  <sheetFormatPr defaultRowHeight="14.4"/>
  <cols>
    <col min="1" max="1" width="19.5546875" style="9" customWidth="1"/>
    <col min="2" max="2" width="11.109375" customWidth="1"/>
    <col min="3" max="3" width="17.88671875" customWidth="1"/>
    <col min="4" max="4" width="12.5546875" customWidth="1"/>
    <col min="5" max="5" width="18.33203125" customWidth="1"/>
    <col min="6" max="6" width="20.77734375" customWidth="1"/>
    <col min="7" max="7" width="12.88671875" customWidth="1"/>
    <col min="8" max="8" width="15.6640625" customWidth="1"/>
    <col min="9" max="9" width="17.21875" customWidth="1"/>
  </cols>
  <sheetData>
    <row r="1" spans="1:13">
      <c r="A1" s="7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486</v>
      </c>
      <c r="I1" s="1" t="s">
        <v>489</v>
      </c>
      <c r="J1" s="1" t="s">
        <v>425</v>
      </c>
    </row>
    <row r="2" spans="1:13">
      <c r="A2" s="8">
        <v>45656</v>
      </c>
      <c r="B2" s="1" t="s">
        <v>14</v>
      </c>
      <c r="C2" s="3">
        <v>664</v>
      </c>
      <c r="D2" s="3">
        <v>251</v>
      </c>
      <c r="E2" s="3">
        <v>240598</v>
      </c>
      <c r="F2" s="3">
        <v>4.79</v>
      </c>
      <c r="G2" s="3">
        <v>10563</v>
      </c>
      <c r="H2">
        <f>C2-D2</f>
        <v>413</v>
      </c>
      <c r="I2" t="str">
        <f>YEAR(A2) &amp; "-W" &amp; TEXT(_xlfn.ISOWEEKNUM(A2),"00")</f>
        <v>2024-W01</v>
      </c>
      <c r="J2" s="3"/>
      <c r="L2">
        <f>CORREL(G2:G202, H2:H202)</f>
        <v>-1.6915989818837331E-2</v>
      </c>
      <c r="M2">
        <f>CORREL(G2:G201, H2:H201)</f>
        <v>-1.6915989818837331E-2</v>
      </c>
    </row>
    <row r="3" spans="1:13">
      <c r="A3" s="8">
        <v>45656</v>
      </c>
      <c r="B3" s="1" t="s">
        <v>24</v>
      </c>
      <c r="C3" s="3">
        <v>1490</v>
      </c>
      <c r="D3" s="3">
        <v>103</v>
      </c>
      <c r="E3" s="3">
        <v>373274</v>
      </c>
      <c r="F3" s="3">
        <v>4.8</v>
      </c>
      <c r="G3" s="3">
        <v>19949</v>
      </c>
      <c r="H3">
        <f>C3-D3</f>
        <v>1387</v>
      </c>
      <c r="I3" t="str">
        <f>YEAR(A3) &amp; "-W" &amp; TEXT(_xlfn.ISOWEEKNUM(A3),"00")</f>
        <v>2024-W01</v>
      </c>
      <c r="J3" s="3"/>
      <c r="L3">
        <f t="shared" ref="L3:L66" si="0">CORREL(G3:G203, H3:H203)</f>
        <v>-2.2332808187570635E-2</v>
      </c>
    </row>
    <row r="4" spans="1:13">
      <c r="A4" s="8">
        <v>45656</v>
      </c>
      <c r="B4" s="1" t="s">
        <v>31</v>
      </c>
      <c r="C4" s="3">
        <v>601</v>
      </c>
      <c r="D4" s="3">
        <v>64</v>
      </c>
      <c r="E4" s="3">
        <v>123272</v>
      </c>
      <c r="F4" s="3">
        <v>4.07</v>
      </c>
      <c r="G4" s="3">
        <v>14273</v>
      </c>
      <c r="H4">
        <f>C4-D4</f>
        <v>537</v>
      </c>
      <c r="I4" t="str">
        <f>YEAR(A4) &amp; "-W" &amp; TEXT(_xlfn.ISOWEEKNUM(A4),"00")</f>
        <v>2024-W01</v>
      </c>
      <c r="J4" s="3"/>
      <c r="L4">
        <f t="shared" si="0"/>
        <v>-2.8010827477605162E-2</v>
      </c>
    </row>
    <row r="5" spans="1:13">
      <c r="A5" s="8">
        <v>45446</v>
      </c>
      <c r="B5" s="1" t="s">
        <v>14</v>
      </c>
      <c r="C5" s="3">
        <v>1402</v>
      </c>
      <c r="D5" s="3">
        <v>68</v>
      </c>
      <c r="E5" s="3">
        <v>124562</v>
      </c>
      <c r="F5" s="3">
        <v>9.92</v>
      </c>
      <c r="G5" s="3">
        <v>23125</v>
      </c>
      <c r="H5">
        <f>C5-D5</f>
        <v>1334</v>
      </c>
      <c r="I5" t="str">
        <f>YEAR(A5) &amp; "-W" &amp; TEXT(_xlfn.ISOWEEKNUM(A5),"00")</f>
        <v>2024-W23</v>
      </c>
      <c r="J5" s="3"/>
      <c r="L5">
        <f t="shared" si="0"/>
        <v>-2.9280466089286347E-2</v>
      </c>
    </row>
    <row r="6" spans="1:13">
      <c r="A6" s="8">
        <v>45446</v>
      </c>
      <c r="B6" s="1" t="s">
        <v>24</v>
      </c>
      <c r="C6" s="3">
        <v>995</v>
      </c>
      <c r="D6" s="3">
        <v>86</v>
      </c>
      <c r="E6" s="3">
        <v>227958</v>
      </c>
      <c r="F6" s="3">
        <v>8.0500000000000007</v>
      </c>
      <c r="G6" s="3">
        <v>22788</v>
      </c>
      <c r="H6">
        <f>C6-D6</f>
        <v>909</v>
      </c>
      <c r="I6" t="str">
        <f>YEAR(A6) &amp; "-W" &amp; TEXT(_xlfn.ISOWEEKNUM(A6),"00")</f>
        <v>2024-W23</v>
      </c>
      <c r="J6" s="3"/>
      <c r="L6">
        <f t="shared" si="0"/>
        <v>-3.8798926013706422E-2</v>
      </c>
    </row>
    <row r="7" spans="1:13">
      <c r="A7" s="8">
        <v>45446</v>
      </c>
      <c r="B7" s="1" t="s">
        <v>31</v>
      </c>
      <c r="C7" s="3">
        <v>1472</v>
      </c>
      <c r="D7" s="3">
        <v>296</v>
      </c>
      <c r="E7" s="3">
        <v>370242</v>
      </c>
      <c r="F7" s="3">
        <v>7.72</v>
      </c>
      <c r="G7" s="3">
        <v>7810</v>
      </c>
      <c r="H7">
        <f>C7-D7</f>
        <v>1176</v>
      </c>
      <c r="I7" t="str">
        <f>YEAR(A7) &amp; "-W" &amp; TEXT(_xlfn.ISOWEEKNUM(A7),"00")</f>
        <v>2024-W23</v>
      </c>
      <c r="J7" s="3"/>
      <c r="L7">
        <f t="shared" si="0"/>
        <v>-4.0651644545113157E-2</v>
      </c>
    </row>
    <row r="8" spans="1:13">
      <c r="A8" s="8">
        <v>45453</v>
      </c>
      <c r="B8" s="1" t="s">
        <v>14</v>
      </c>
      <c r="C8" s="3">
        <v>1018</v>
      </c>
      <c r="D8" s="3">
        <v>90</v>
      </c>
      <c r="E8" s="3">
        <v>92474</v>
      </c>
      <c r="F8" s="3">
        <v>9.4</v>
      </c>
      <c r="G8" s="3">
        <v>11966</v>
      </c>
      <c r="H8">
        <f>C8-D8</f>
        <v>928</v>
      </c>
      <c r="I8" t="str">
        <f>YEAR(A8) &amp; "-W" &amp; TEXT(_xlfn.ISOWEEKNUM(A8),"00")</f>
        <v>2024-W24</v>
      </c>
      <c r="J8" s="3"/>
      <c r="L8">
        <f t="shared" si="0"/>
        <v>-3.3279214564595989E-2</v>
      </c>
    </row>
    <row r="9" spans="1:13">
      <c r="A9" s="8">
        <v>45453</v>
      </c>
      <c r="B9" s="1" t="s">
        <v>24</v>
      </c>
      <c r="C9" s="3">
        <v>1461</v>
      </c>
      <c r="D9" s="3">
        <v>64</v>
      </c>
      <c r="E9" s="3">
        <v>328902</v>
      </c>
      <c r="F9" s="3">
        <v>9.02</v>
      </c>
      <c r="G9" s="3">
        <v>26298</v>
      </c>
      <c r="H9">
        <f>C9-D9</f>
        <v>1397</v>
      </c>
      <c r="I9" t="str">
        <f>YEAR(A9) &amp; "-W" &amp; TEXT(_xlfn.ISOWEEKNUM(A9),"00")</f>
        <v>2024-W24</v>
      </c>
      <c r="J9" s="3"/>
      <c r="L9">
        <f t="shared" si="0"/>
        <v>-3.2033493029294167E-2</v>
      </c>
    </row>
    <row r="10" spans="1:13">
      <c r="A10" s="8">
        <v>45453</v>
      </c>
      <c r="B10" s="1" t="s">
        <v>31</v>
      </c>
      <c r="C10" s="3">
        <v>545</v>
      </c>
      <c r="D10" s="3">
        <v>93</v>
      </c>
      <c r="E10" s="3">
        <v>391621</v>
      </c>
      <c r="F10" s="3">
        <v>9.9600000000000009</v>
      </c>
      <c r="G10" s="3">
        <v>22029</v>
      </c>
      <c r="H10">
        <f>C10-D10</f>
        <v>452</v>
      </c>
      <c r="I10" t="str">
        <f>YEAR(A10) &amp; "-W" &amp; TEXT(_xlfn.ISOWEEKNUM(A10),"00")</f>
        <v>2024-W24</v>
      </c>
      <c r="J10" s="3"/>
      <c r="L10">
        <f t="shared" si="0"/>
        <v>-4.8113805800480657E-2</v>
      </c>
    </row>
    <row r="11" spans="1:13">
      <c r="A11" s="8">
        <v>45460</v>
      </c>
      <c r="B11" s="1" t="s">
        <v>14</v>
      </c>
      <c r="C11" s="3">
        <v>881</v>
      </c>
      <c r="D11" s="3">
        <v>291</v>
      </c>
      <c r="E11" s="3">
        <v>95885</v>
      </c>
      <c r="F11" s="3">
        <v>5.29</v>
      </c>
      <c r="G11" s="3">
        <v>12391</v>
      </c>
      <c r="H11">
        <f>C11-D11</f>
        <v>590</v>
      </c>
      <c r="I11" t="str">
        <f>YEAR(A11) &amp; "-W" &amp; TEXT(_xlfn.ISOWEEKNUM(A11),"00")</f>
        <v>2024-W25</v>
      </c>
      <c r="J11" s="3"/>
      <c r="L11">
        <f t="shared" si="0"/>
        <v>-4.3005820363182089E-2</v>
      </c>
    </row>
    <row r="12" spans="1:13">
      <c r="A12" s="8">
        <v>45460</v>
      </c>
      <c r="B12" s="1" t="s">
        <v>24</v>
      </c>
      <c r="C12" s="3">
        <v>1414</v>
      </c>
      <c r="D12" s="3">
        <v>131</v>
      </c>
      <c r="E12" s="3">
        <v>245947</v>
      </c>
      <c r="F12" s="3">
        <v>8.3000000000000007</v>
      </c>
      <c r="G12" s="3">
        <v>14477</v>
      </c>
      <c r="H12">
        <f>C12-D12</f>
        <v>1283</v>
      </c>
      <c r="I12" t="str">
        <f>YEAR(A12) &amp; "-W" &amp; TEXT(_xlfn.ISOWEEKNUM(A12),"00")</f>
        <v>2024-W25</v>
      </c>
      <c r="J12" s="3"/>
      <c r="L12">
        <f t="shared" si="0"/>
        <v>-4.5068288712061186E-2</v>
      </c>
    </row>
    <row r="13" spans="1:13">
      <c r="A13" s="8">
        <v>45460</v>
      </c>
      <c r="B13" s="1" t="s">
        <v>31</v>
      </c>
      <c r="C13" s="3">
        <v>1472</v>
      </c>
      <c r="D13" s="3">
        <v>170</v>
      </c>
      <c r="E13" s="3">
        <v>250428</v>
      </c>
      <c r="F13" s="3">
        <v>4.66</v>
      </c>
      <c r="G13" s="3">
        <v>25040</v>
      </c>
      <c r="H13">
        <f>C13-D13</f>
        <v>1302</v>
      </c>
      <c r="I13" t="str">
        <f>YEAR(A13) &amp; "-W" &amp; TEXT(_xlfn.ISOWEEKNUM(A13),"00")</f>
        <v>2024-W25</v>
      </c>
      <c r="J13" s="3"/>
      <c r="L13">
        <f t="shared" si="0"/>
        <v>-4.3430862770164481E-2</v>
      </c>
    </row>
    <row r="14" spans="1:13">
      <c r="A14" s="8">
        <v>45467</v>
      </c>
      <c r="B14" s="1" t="s">
        <v>14</v>
      </c>
      <c r="C14" s="3">
        <v>809</v>
      </c>
      <c r="D14" s="3">
        <v>197</v>
      </c>
      <c r="E14" s="3">
        <v>87186</v>
      </c>
      <c r="F14" s="3">
        <v>9.48</v>
      </c>
      <c r="G14" s="3">
        <v>22619</v>
      </c>
      <c r="H14">
        <f>C14-D14</f>
        <v>612</v>
      </c>
      <c r="I14" t="str">
        <f>YEAR(A14) &amp; "-W" &amp; TEXT(_xlfn.ISOWEEKNUM(A14),"00")</f>
        <v>2024-W26</v>
      </c>
      <c r="J14" s="3"/>
      <c r="L14">
        <f t="shared" si="0"/>
        <v>-5.5871363312564933E-2</v>
      </c>
    </row>
    <row r="15" spans="1:13">
      <c r="A15" s="8">
        <v>45467</v>
      </c>
      <c r="B15" s="1" t="s">
        <v>24</v>
      </c>
      <c r="C15" s="3">
        <v>1371</v>
      </c>
      <c r="D15" s="3">
        <v>250</v>
      </c>
      <c r="E15" s="3">
        <v>128620</v>
      </c>
      <c r="F15" s="3">
        <v>7.11</v>
      </c>
      <c r="G15" s="3">
        <v>12399</v>
      </c>
      <c r="H15">
        <f>C15-D15</f>
        <v>1121</v>
      </c>
      <c r="I15" t="str">
        <f>YEAR(A15) &amp; "-W" &amp; TEXT(_xlfn.ISOWEEKNUM(A15),"00")</f>
        <v>2024-W26</v>
      </c>
      <c r="J15" s="3"/>
      <c r="L15">
        <f t="shared" si="0"/>
        <v>-5.2827095689746889E-2</v>
      </c>
    </row>
    <row r="16" spans="1:13">
      <c r="A16" s="8">
        <v>45467</v>
      </c>
      <c r="B16" s="1" t="s">
        <v>31</v>
      </c>
      <c r="C16" s="3">
        <v>844</v>
      </c>
      <c r="D16" s="3">
        <v>144</v>
      </c>
      <c r="E16" s="3">
        <v>126015</v>
      </c>
      <c r="F16" s="3">
        <v>9.65</v>
      </c>
      <c r="G16" s="3">
        <v>22456</v>
      </c>
      <c r="H16">
        <f>C16-D16</f>
        <v>700</v>
      </c>
      <c r="I16" t="str">
        <f>YEAR(A16) &amp; "-W" &amp; TEXT(_xlfn.ISOWEEKNUM(A16),"00")</f>
        <v>2024-W26</v>
      </c>
      <c r="J16" s="3"/>
      <c r="L16">
        <f t="shared" si="0"/>
        <v>-4.998421291585111E-2</v>
      </c>
    </row>
    <row r="17" spans="1:12">
      <c r="A17" s="8">
        <v>45474</v>
      </c>
      <c r="B17" s="1" t="s">
        <v>14</v>
      </c>
      <c r="C17" s="3">
        <v>786</v>
      </c>
      <c r="D17" s="3">
        <v>72</v>
      </c>
      <c r="E17" s="3">
        <v>178615</v>
      </c>
      <c r="F17" s="3">
        <v>5.43</v>
      </c>
      <c r="G17" s="3">
        <v>19328</v>
      </c>
      <c r="H17">
        <f>C17-D17</f>
        <v>714</v>
      </c>
      <c r="I17" t="str">
        <f>YEAR(A17) &amp; "-W" &amp; TEXT(_xlfn.ISOWEEKNUM(A17),"00")</f>
        <v>2024-W27</v>
      </c>
      <c r="J17" s="3"/>
      <c r="L17">
        <f t="shared" si="0"/>
        <v>-4.8460611748781759E-2</v>
      </c>
    </row>
    <row r="18" spans="1:12">
      <c r="A18" s="8">
        <v>45474</v>
      </c>
      <c r="B18" s="1" t="s">
        <v>24</v>
      </c>
      <c r="C18" s="3">
        <v>845</v>
      </c>
      <c r="D18" s="3">
        <v>250</v>
      </c>
      <c r="E18" s="3">
        <v>218228</v>
      </c>
      <c r="F18" s="3">
        <v>4.5199999999999996</v>
      </c>
      <c r="G18" s="3">
        <v>21107</v>
      </c>
      <c r="H18">
        <f>C18-D18</f>
        <v>595</v>
      </c>
      <c r="I18" t="str">
        <f>YEAR(A18) &amp; "-W" &amp; TEXT(_xlfn.ISOWEEKNUM(A18),"00")</f>
        <v>2024-W27</v>
      </c>
      <c r="J18" s="3"/>
      <c r="L18">
        <f t="shared" si="0"/>
        <v>-4.7753891050817836E-2</v>
      </c>
    </row>
    <row r="19" spans="1:12">
      <c r="A19" s="8">
        <v>45474</v>
      </c>
      <c r="B19" s="1" t="s">
        <v>31</v>
      </c>
      <c r="C19" s="3">
        <v>1218</v>
      </c>
      <c r="D19" s="3">
        <v>101</v>
      </c>
      <c r="E19" s="3">
        <v>300397</v>
      </c>
      <c r="F19" s="3">
        <v>4.33</v>
      </c>
      <c r="G19" s="3">
        <v>12277</v>
      </c>
      <c r="H19">
        <f>C19-D19</f>
        <v>1117</v>
      </c>
      <c r="I19" t="str">
        <f>YEAR(A19) &amp; "-W" &amp; TEXT(_xlfn.ISOWEEKNUM(A19),"00")</f>
        <v>2024-W27</v>
      </c>
      <c r="J19" s="3"/>
      <c r="L19">
        <f t="shared" si="0"/>
        <v>-4.5081315278282262E-2</v>
      </c>
    </row>
    <row r="20" spans="1:12">
      <c r="A20" s="8">
        <v>45481</v>
      </c>
      <c r="B20" s="1" t="s">
        <v>14</v>
      </c>
      <c r="C20" s="3">
        <v>797</v>
      </c>
      <c r="D20" s="3">
        <v>130</v>
      </c>
      <c r="E20" s="3">
        <v>340121</v>
      </c>
      <c r="F20" s="3">
        <v>8.52</v>
      </c>
      <c r="G20" s="3">
        <v>11684</v>
      </c>
      <c r="H20">
        <f>C20-D20</f>
        <v>667</v>
      </c>
      <c r="I20" t="str">
        <f>YEAR(A20) &amp; "-W" &amp; TEXT(_xlfn.ISOWEEKNUM(A20),"00")</f>
        <v>2024-W28</v>
      </c>
      <c r="J20" s="3"/>
      <c r="L20">
        <f t="shared" si="0"/>
        <v>-4.2167253631984265E-2</v>
      </c>
    </row>
    <row r="21" spans="1:12">
      <c r="A21" s="8">
        <v>45481</v>
      </c>
      <c r="B21" s="1" t="s">
        <v>24</v>
      </c>
      <c r="C21" s="3">
        <v>1471</v>
      </c>
      <c r="D21" s="3">
        <v>100</v>
      </c>
      <c r="E21" s="3">
        <v>76866</v>
      </c>
      <c r="F21" s="3">
        <v>8.5500000000000007</v>
      </c>
      <c r="G21" s="3">
        <v>14412</v>
      </c>
      <c r="H21">
        <f>C21-D21</f>
        <v>1371</v>
      </c>
      <c r="I21" t="str">
        <f>YEAR(A21) &amp; "-W" &amp; TEXT(_xlfn.ISOWEEKNUM(A21),"00")</f>
        <v>2024-W28</v>
      </c>
      <c r="J21" s="3"/>
      <c r="L21">
        <f t="shared" si="0"/>
        <v>-4.370728270972131E-2</v>
      </c>
    </row>
    <row r="22" spans="1:12">
      <c r="A22" s="8">
        <v>45481</v>
      </c>
      <c r="B22" s="1" t="s">
        <v>31</v>
      </c>
      <c r="C22" s="3">
        <v>1253</v>
      </c>
      <c r="D22" s="3">
        <v>136</v>
      </c>
      <c r="E22" s="3">
        <v>193131</v>
      </c>
      <c r="F22" s="3">
        <v>7.99</v>
      </c>
      <c r="G22" s="3">
        <v>15924</v>
      </c>
      <c r="H22">
        <f>C22-D22</f>
        <v>1117</v>
      </c>
      <c r="I22" t="str">
        <f>YEAR(A22) &amp; "-W" &amp; TEXT(_xlfn.ISOWEEKNUM(A22),"00")</f>
        <v>2024-W28</v>
      </c>
      <c r="J22" s="3"/>
      <c r="L22">
        <f t="shared" si="0"/>
        <v>-4.1776010106588983E-2</v>
      </c>
    </row>
    <row r="23" spans="1:12">
      <c r="A23" s="8">
        <v>45488</v>
      </c>
      <c r="B23" s="1" t="s">
        <v>14</v>
      </c>
      <c r="C23" s="3">
        <v>616</v>
      </c>
      <c r="D23" s="3">
        <v>257</v>
      </c>
      <c r="E23" s="3">
        <v>169665</v>
      </c>
      <c r="F23" s="3">
        <v>6.31</v>
      </c>
      <c r="G23" s="3">
        <v>12390</v>
      </c>
      <c r="H23">
        <f>C23-D23</f>
        <v>359</v>
      </c>
      <c r="I23" t="str">
        <f>YEAR(A23) &amp; "-W" &amp; TEXT(_xlfn.ISOWEEKNUM(A23),"00")</f>
        <v>2024-W29</v>
      </c>
      <c r="J23" s="3"/>
      <c r="L23">
        <f t="shared" si="0"/>
        <v>-4.1892869247658199E-2</v>
      </c>
    </row>
    <row r="24" spans="1:12">
      <c r="A24" s="8">
        <v>45488</v>
      </c>
      <c r="B24" s="1" t="s">
        <v>24</v>
      </c>
      <c r="C24" s="3">
        <v>1308</v>
      </c>
      <c r="D24" s="3">
        <v>210</v>
      </c>
      <c r="E24" s="3">
        <v>263729</v>
      </c>
      <c r="F24" s="3">
        <v>8.5299999999999994</v>
      </c>
      <c r="G24" s="3">
        <v>25742</v>
      </c>
      <c r="H24">
        <f>C24-D24</f>
        <v>1098</v>
      </c>
      <c r="I24" t="str">
        <f>YEAR(A24) &amp; "-W" &amp; TEXT(_xlfn.ISOWEEKNUM(A24),"00")</f>
        <v>2024-W29</v>
      </c>
      <c r="J24" s="3"/>
      <c r="L24">
        <f t="shared" si="0"/>
        <v>-4.637712784201669E-2</v>
      </c>
    </row>
    <row r="25" spans="1:12">
      <c r="A25" s="8">
        <v>45488</v>
      </c>
      <c r="B25" s="1" t="s">
        <v>31</v>
      </c>
      <c r="C25" s="3">
        <v>981</v>
      </c>
      <c r="D25" s="3">
        <v>69</v>
      </c>
      <c r="E25" s="3">
        <v>206921</v>
      </c>
      <c r="F25" s="3">
        <v>8.42</v>
      </c>
      <c r="G25" s="3">
        <v>10495</v>
      </c>
      <c r="H25">
        <f>C25-D25</f>
        <v>912</v>
      </c>
      <c r="I25" t="str">
        <f>YEAR(A25) &amp; "-W" &amp; TEXT(_xlfn.ISOWEEKNUM(A25),"00")</f>
        <v>2024-W29</v>
      </c>
      <c r="J25" s="3"/>
      <c r="L25">
        <f t="shared" si="0"/>
        <v>-5.4977506129727009E-2</v>
      </c>
    </row>
    <row r="26" spans="1:12">
      <c r="A26" s="8">
        <v>45495</v>
      </c>
      <c r="B26" s="1" t="s">
        <v>14</v>
      </c>
      <c r="C26" s="3">
        <v>866</v>
      </c>
      <c r="D26" s="3">
        <v>74</v>
      </c>
      <c r="E26" s="3">
        <v>204121</v>
      </c>
      <c r="F26" s="3">
        <v>9.34</v>
      </c>
      <c r="G26" s="3">
        <v>7797</v>
      </c>
      <c r="H26">
        <f>C26-D26</f>
        <v>792</v>
      </c>
      <c r="I26" t="str">
        <f>YEAR(A26) &amp; "-W" &amp; TEXT(_xlfn.ISOWEEKNUM(A26),"00")</f>
        <v>2024-W30</v>
      </c>
      <c r="J26" s="3"/>
      <c r="L26">
        <f t="shared" si="0"/>
        <v>-5.3323975284004919E-2</v>
      </c>
    </row>
    <row r="27" spans="1:12">
      <c r="A27" s="8">
        <v>45495</v>
      </c>
      <c r="B27" s="1" t="s">
        <v>24</v>
      </c>
      <c r="C27" s="3">
        <v>547</v>
      </c>
      <c r="D27" s="3">
        <v>183</v>
      </c>
      <c r="E27" s="3">
        <v>266350</v>
      </c>
      <c r="F27" s="3">
        <v>5.65</v>
      </c>
      <c r="G27" s="3">
        <v>15595</v>
      </c>
      <c r="H27">
        <f>C27-D27</f>
        <v>364</v>
      </c>
      <c r="I27" t="str">
        <f>YEAR(A27) &amp; "-W" &amp; TEXT(_xlfn.ISOWEEKNUM(A27),"00")</f>
        <v>2024-W30</v>
      </c>
      <c r="J27" s="3"/>
      <c r="L27">
        <f t="shared" si="0"/>
        <v>-5.3561723198781511E-2</v>
      </c>
    </row>
    <row r="28" spans="1:12">
      <c r="A28" s="8">
        <v>45495</v>
      </c>
      <c r="B28" s="1" t="s">
        <v>31</v>
      </c>
      <c r="C28" s="3">
        <v>1241</v>
      </c>
      <c r="D28" s="3">
        <v>116</v>
      </c>
      <c r="E28" s="3">
        <v>380606</v>
      </c>
      <c r="F28" s="3">
        <v>4.2</v>
      </c>
      <c r="G28" s="3">
        <v>24617</v>
      </c>
      <c r="H28">
        <f>C28-D28</f>
        <v>1125</v>
      </c>
      <c r="I28" t="str">
        <f>YEAR(A28) &amp; "-W" &amp; TEXT(_xlfn.ISOWEEKNUM(A28),"00")</f>
        <v>2024-W30</v>
      </c>
      <c r="J28" s="3"/>
      <c r="L28">
        <f t="shared" si="0"/>
        <v>-5.4325963799210744E-2</v>
      </c>
    </row>
    <row r="29" spans="1:12">
      <c r="A29" s="8">
        <v>45502</v>
      </c>
      <c r="B29" s="1" t="s">
        <v>14</v>
      </c>
      <c r="C29" s="3">
        <v>973</v>
      </c>
      <c r="D29" s="3">
        <v>104</v>
      </c>
      <c r="E29" s="3">
        <v>376358</v>
      </c>
      <c r="F29" s="3">
        <v>3.87</v>
      </c>
      <c r="G29" s="3">
        <v>9847</v>
      </c>
      <c r="H29">
        <f>C29-D29</f>
        <v>869</v>
      </c>
      <c r="I29" t="str">
        <f>YEAR(A29) &amp; "-W" &amp; TEXT(_xlfn.ISOWEEKNUM(A29),"00")</f>
        <v>2024-W31</v>
      </c>
      <c r="J29" s="3"/>
      <c r="L29">
        <f t="shared" si="0"/>
        <v>-6.2803217674317083E-2</v>
      </c>
    </row>
    <row r="30" spans="1:12">
      <c r="A30" s="8">
        <v>45502</v>
      </c>
      <c r="B30" s="1" t="s">
        <v>24</v>
      </c>
      <c r="C30" s="3">
        <v>611</v>
      </c>
      <c r="D30" s="3">
        <v>197</v>
      </c>
      <c r="E30" s="3">
        <v>79423</v>
      </c>
      <c r="F30" s="3">
        <v>5.82</v>
      </c>
      <c r="G30" s="3">
        <v>13644</v>
      </c>
      <c r="H30">
        <f>C30-D30</f>
        <v>414</v>
      </c>
      <c r="I30" t="str">
        <f>YEAR(A30) &amp; "-W" &amp; TEXT(_xlfn.ISOWEEKNUM(A30),"00")</f>
        <v>2024-W31</v>
      </c>
      <c r="J30" s="3"/>
      <c r="L30">
        <f t="shared" si="0"/>
        <v>-6.165933854804196E-2</v>
      </c>
    </row>
    <row r="31" spans="1:12">
      <c r="A31" s="8">
        <v>45502</v>
      </c>
      <c r="B31" s="1" t="s">
        <v>31</v>
      </c>
      <c r="C31" s="3">
        <v>983</v>
      </c>
      <c r="D31" s="3">
        <v>134</v>
      </c>
      <c r="E31" s="3">
        <v>352178</v>
      </c>
      <c r="F31" s="3">
        <v>3.55</v>
      </c>
      <c r="G31" s="3">
        <v>11421</v>
      </c>
      <c r="H31">
        <f>C31-D31</f>
        <v>849</v>
      </c>
      <c r="I31" t="str">
        <f>YEAR(A31) &amp; "-W" &amp; TEXT(_xlfn.ISOWEEKNUM(A31),"00")</f>
        <v>2024-W31</v>
      </c>
      <c r="J31" s="3"/>
      <c r="L31">
        <f t="shared" si="0"/>
        <v>-6.4457427761340058E-2</v>
      </c>
    </row>
    <row r="32" spans="1:12">
      <c r="A32" s="8">
        <v>45509</v>
      </c>
      <c r="B32" s="1" t="s">
        <v>14</v>
      </c>
      <c r="C32" s="3">
        <v>1449</v>
      </c>
      <c r="D32" s="3">
        <v>96</v>
      </c>
      <c r="E32" s="3">
        <v>200636</v>
      </c>
      <c r="F32" s="3">
        <v>9.92</v>
      </c>
      <c r="G32" s="3">
        <v>15613</v>
      </c>
      <c r="H32">
        <f>C32-D32</f>
        <v>1353</v>
      </c>
      <c r="I32" t="str">
        <f>YEAR(A32) &amp; "-W" &amp; TEXT(_xlfn.ISOWEEKNUM(A32),"00")</f>
        <v>2024-W32</v>
      </c>
      <c r="J32" s="3"/>
      <c r="L32">
        <f t="shared" si="0"/>
        <v>-6.3848448549346432E-2</v>
      </c>
    </row>
    <row r="33" spans="1:12">
      <c r="A33" s="8">
        <v>45509</v>
      </c>
      <c r="B33" s="1" t="s">
        <v>24</v>
      </c>
      <c r="C33" s="3">
        <v>752</v>
      </c>
      <c r="D33" s="3">
        <v>170</v>
      </c>
      <c r="E33" s="3">
        <v>132756</v>
      </c>
      <c r="F33" s="3">
        <v>8.17</v>
      </c>
      <c r="G33" s="3">
        <v>23900</v>
      </c>
      <c r="H33">
        <f>C33-D33</f>
        <v>582</v>
      </c>
      <c r="I33" t="str">
        <f>YEAR(A33) &amp; "-W" &amp; TEXT(_xlfn.ISOWEEKNUM(A33),"00")</f>
        <v>2024-W32</v>
      </c>
      <c r="J33" s="3"/>
      <c r="L33">
        <f t="shared" si="0"/>
        <v>-6.3845425239935291E-2</v>
      </c>
    </row>
    <row r="34" spans="1:12">
      <c r="A34" s="8">
        <v>45509</v>
      </c>
      <c r="B34" s="1" t="s">
        <v>31</v>
      </c>
      <c r="C34" s="3">
        <v>937</v>
      </c>
      <c r="D34" s="3">
        <v>179</v>
      </c>
      <c r="E34" s="3">
        <v>318098</v>
      </c>
      <c r="F34" s="3">
        <v>5.3</v>
      </c>
      <c r="G34" s="3">
        <v>5836</v>
      </c>
      <c r="H34">
        <f>C34-D34</f>
        <v>758</v>
      </c>
      <c r="I34" t="str">
        <f>YEAR(A34) &amp; "-W" &amp; TEXT(_xlfn.ISOWEEKNUM(A34),"00")</f>
        <v>2024-W32</v>
      </c>
      <c r="J34" s="3"/>
      <c r="L34">
        <f t="shared" si="0"/>
        <v>-5.942292597297559E-2</v>
      </c>
    </row>
    <row r="35" spans="1:12">
      <c r="A35" s="8">
        <v>45516</v>
      </c>
      <c r="B35" s="1" t="s">
        <v>14</v>
      </c>
      <c r="C35" s="3">
        <v>1060</v>
      </c>
      <c r="D35" s="3">
        <v>83</v>
      </c>
      <c r="E35" s="3">
        <v>68724</v>
      </c>
      <c r="F35" s="3">
        <v>5.98</v>
      </c>
      <c r="G35" s="3">
        <v>5624</v>
      </c>
      <c r="H35">
        <f>C35-D35</f>
        <v>977</v>
      </c>
      <c r="I35" t="str">
        <f>YEAR(A35) &amp; "-W" &amp; TEXT(_xlfn.ISOWEEKNUM(A35),"00")</f>
        <v>2024-W33</v>
      </c>
      <c r="J35" s="3"/>
      <c r="L35">
        <f t="shared" si="0"/>
        <v>-6.0845596403205651E-2</v>
      </c>
    </row>
    <row r="36" spans="1:12">
      <c r="A36" s="8">
        <v>45516</v>
      </c>
      <c r="B36" s="1" t="s">
        <v>24</v>
      </c>
      <c r="C36" s="3">
        <v>1456</v>
      </c>
      <c r="D36" s="3">
        <v>265</v>
      </c>
      <c r="E36" s="3">
        <v>115505</v>
      </c>
      <c r="F36" s="3">
        <v>7.49</v>
      </c>
      <c r="G36" s="3">
        <v>10311</v>
      </c>
      <c r="H36">
        <f>C36-D36</f>
        <v>1191</v>
      </c>
      <c r="I36" t="str">
        <f>YEAR(A36) &amp; "-W" &amp; TEXT(_xlfn.ISOWEEKNUM(A36),"00")</f>
        <v>2024-W33</v>
      </c>
      <c r="J36" s="3"/>
      <c r="L36">
        <f t="shared" si="0"/>
        <v>-5.5731353535514352E-2</v>
      </c>
    </row>
    <row r="37" spans="1:12">
      <c r="A37" s="8">
        <v>45516</v>
      </c>
      <c r="B37" s="1" t="s">
        <v>31</v>
      </c>
      <c r="C37" s="3">
        <v>1109</v>
      </c>
      <c r="D37" s="3">
        <v>205</v>
      </c>
      <c r="E37" s="3">
        <v>276722</v>
      </c>
      <c r="F37" s="3">
        <v>9.3800000000000008</v>
      </c>
      <c r="G37" s="3">
        <v>8274</v>
      </c>
      <c r="H37">
        <f>C37-D37</f>
        <v>904</v>
      </c>
      <c r="I37" t="str">
        <f>YEAR(A37) &amp; "-W" &amp; TEXT(_xlfn.ISOWEEKNUM(A37),"00")</f>
        <v>2024-W33</v>
      </c>
      <c r="J37" s="3"/>
      <c r="L37">
        <f t="shared" si="0"/>
        <v>-4.9326664685830267E-2</v>
      </c>
    </row>
    <row r="38" spans="1:12">
      <c r="A38" s="8">
        <v>45523</v>
      </c>
      <c r="B38" s="1" t="s">
        <v>14</v>
      </c>
      <c r="C38" s="3">
        <v>1002</v>
      </c>
      <c r="D38" s="3">
        <v>93</v>
      </c>
      <c r="E38" s="3">
        <v>353538</v>
      </c>
      <c r="F38" s="3">
        <v>5.84</v>
      </c>
      <c r="G38" s="3">
        <v>6031</v>
      </c>
      <c r="H38">
        <f>C38-D38</f>
        <v>909</v>
      </c>
      <c r="I38" t="str">
        <f>YEAR(A38) &amp; "-W" &amp; TEXT(_xlfn.ISOWEEKNUM(A38),"00")</f>
        <v>2024-W34</v>
      </c>
      <c r="J38" s="3"/>
      <c r="L38">
        <f t="shared" si="0"/>
        <v>-4.6879641386657254E-2</v>
      </c>
    </row>
    <row r="39" spans="1:12">
      <c r="A39" s="8">
        <v>45523</v>
      </c>
      <c r="B39" s="1" t="s">
        <v>24</v>
      </c>
      <c r="C39" s="3">
        <v>571</v>
      </c>
      <c r="D39" s="3">
        <v>189</v>
      </c>
      <c r="E39" s="3">
        <v>61445</v>
      </c>
      <c r="F39" s="3">
        <v>5.41</v>
      </c>
      <c r="G39" s="3">
        <v>27829</v>
      </c>
      <c r="H39">
        <f>C39-D39</f>
        <v>382</v>
      </c>
      <c r="I39" t="str">
        <f>YEAR(A39) &amp; "-W" &amp; TEXT(_xlfn.ISOWEEKNUM(A39),"00")</f>
        <v>2024-W34</v>
      </c>
      <c r="J39" s="3"/>
      <c r="L39">
        <f t="shared" si="0"/>
        <v>-4.3579081641777664E-2</v>
      </c>
    </row>
    <row r="40" spans="1:12">
      <c r="A40" s="8">
        <v>45523</v>
      </c>
      <c r="B40" s="1" t="s">
        <v>31</v>
      </c>
      <c r="C40" s="3">
        <v>1240</v>
      </c>
      <c r="D40" s="3">
        <v>231</v>
      </c>
      <c r="E40" s="3">
        <v>165035</v>
      </c>
      <c r="F40" s="3">
        <v>6.05</v>
      </c>
      <c r="G40" s="3">
        <v>18267</v>
      </c>
      <c r="H40">
        <f>C40-D40</f>
        <v>1009</v>
      </c>
      <c r="I40" t="str">
        <f>YEAR(A40) &amp; "-W" &amp; TEXT(_xlfn.ISOWEEKNUM(A40),"00")</f>
        <v>2024-W34</v>
      </c>
      <c r="J40" s="3"/>
      <c r="L40">
        <f t="shared" si="0"/>
        <v>-2.9938102716914359E-2</v>
      </c>
    </row>
    <row r="41" spans="1:12">
      <c r="A41" s="8">
        <v>45530</v>
      </c>
      <c r="B41" s="1" t="s">
        <v>14</v>
      </c>
      <c r="C41" s="3">
        <v>1154</v>
      </c>
      <c r="D41" s="3">
        <v>132</v>
      </c>
      <c r="E41" s="3">
        <v>194595</v>
      </c>
      <c r="F41" s="3">
        <v>7.54</v>
      </c>
      <c r="G41" s="3">
        <v>26624</v>
      </c>
      <c r="H41">
        <f>C41-D41</f>
        <v>1022</v>
      </c>
      <c r="I41" t="str">
        <f>YEAR(A41) &amp; "-W" &amp; TEXT(_xlfn.ISOWEEKNUM(A41),"00")</f>
        <v>2024-W35</v>
      </c>
      <c r="J41" s="3"/>
      <c r="L41">
        <f t="shared" si="0"/>
        <v>-3.139579015990808E-2</v>
      </c>
    </row>
    <row r="42" spans="1:12">
      <c r="A42" s="8">
        <v>45530</v>
      </c>
      <c r="B42" s="1" t="s">
        <v>24</v>
      </c>
      <c r="C42" s="3">
        <v>537</v>
      </c>
      <c r="D42" s="3">
        <v>275</v>
      </c>
      <c r="E42" s="3">
        <v>236238</v>
      </c>
      <c r="F42" s="3">
        <v>5.87</v>
      </c>
      <c r="G42" s="3">
        <v>26644</v>
      </c>
      <c r="H42">
        <f>C42-D42</f>
        <v>262</v>
      </c>
      <c r="I42" t="str">
        <f>YEAR(A42) &amp; "-W" &amp; TEXT(_xlfn.ISOWEEKNUM(A42),"00")</f>
        <v>2024-W35</v>
      </c>
      <c r="J42" s="3"/>
      <c r="L42">
        <f t="shared" si="0"/>
        <v>-3.9197163070785669E-2</v>
      </c>
    </row>
    <row r="43" spans="1:12">
      <c r="A43" s="8">
        <v>45530</v>
      </c>
      <c r="B43" s="1" t="s">
        <v>31</v>
      </c>
      <c r="C43" s="3">
        <v>1456</v>
      </c>
      <c r="D43" s="3">
        <v>290</v>
      </c>
      <c r="E43" s="3">
        <v>271044</v>
      </c>
      <c r="F43" s="3">
        <v>7.17</v>
      </c>
      <c r="G43" s="3">
        <v>13051</v>
      </c>
      <c r="H43">
        <f>C43-D43</f>
        <v>1166</v>
      </c>
      <c r="I43" t="str">
        <f>YEAR(A43) &amp; "-W" &amp; TEXT(_xlfn.ISOWEEKNUM(A43),"00")</f>
        <v>2024-W35</v>
      </c>
      <c r="J43" s="3"/>
      <c r="L43">
        <f t="shared" si="0"/>
        <v>-2.2534901631911013E-2</v>
      </c>
    </row>
    <row r="44" spans="1:12">
      <c r="A44" s="8">
        <v>45537</v>
      </c>
      <c r="B44" s="1" t="s">
        <v>14</v>
      </c>
      <c r="C44" s="3">
        <v>721</v>
      </c>
      <c r="D44" s="3">
        <v>206</v>
      </c>
      <c r="E44" s="3">
        <v>334887</v>
      </c>
      <c r="F44" s="3">
        <v>6.05</v>
      </c>
      <c r="G44" s="3">
        <v>14217</v>
      </c>
      <c r="H44">
        <f>C44-D44</f>
        <v>515</v>
      </c>
      <c r="I44" t="str">
        <f>YEAR(A44) &amp; "-W" &amp; TEXT(_xlfn.ISOWEEKNUM(A44),"00")</f>
        <v>2024-W36</v>
      </c>
      <c r="J44" s="3"/>
      <c r="L44">
        <f t="shared" si="0"/>
        <v>-1.9161501798335829E-2</v>
      </c>
    </row>
    <row r="45" spans="1:12">
      <c r="A45" s="8">
        <v>45537</v>
      </c>
      <c r="B45" s="1" t="s">
        <v>24</v>
      </c>
      <c r="C45" s="3">
        <v>1098</v>
      </c>
      <c r="D45" s="3">
        <v>142</v>
      </c>
      <c r="E45" s="3">
        <v>359150</v>
      </c>
      <c r="F45" s="3">
        <v>7.51</v>
      </c>
      <c r="G45" s="3">
        <v>16385</v>
      </c>
      <c r="H45">
        <f>C45-D45</f>
        <v>956</v>
      </c>
      <c r="I45" t="str">
        <f>YEAR(A45) &amp; "-W" &amp; TEXT(_xlfn.ISOWEEKNUM(A45),"00")</f>
        <v>2024-W36</v>
      </c>
      <c r="J45" s="3"/>
      <c r="L45">
        <f t="shared" si="0"/>
        <v>-2.0780707241809148E-2</v>
      </c>
    </row>
    <row r="46" spans="1:12">
      <c r="A46" s="8">
        <v>45537</v>
      </c>
      <c r="B46" s="1" t="s">
        <v>31</v>
      </c>
      <c r="C46" s="3">
        <v>1096</v>
      </c>
      <c r="D46" s="3">
        <v>65</v>
      </c>
      <c r="E46" s="3">
        <v>358295</v>
      </c>
      <c r="F46" s="3">
        <v>7.66</v>
      </c>
      <c r="G46" s="3">
        <v>24548</v>
      </c>
      <c r="H46">
        <f>C46-D46</f>
        <v>1031</v>
      </c>
      <c r="I46" t="str">
        <f>YEAR(A46) &amp; "-W" &amp; TEXT(_xlfn.ISOWEEKNUM(A46),"00")</f>
        <v>2024-W36</v>
      </c>
      <c r="J46" s="3"/>
      <c r="L46">
        <f t="shared" si="0"/>
        <v>-2.0977651718321905E-2</v>
      </c>
    </row>
    <row r="47" spans="1:12">
      <c r="A47" s="8">
        <v>45544</v>
      </c>
      <c r="B47" s="1" t="s">
        <v>14</v>
      </c>
      <c r="C47" s="3">
        <v>912</v>
      </c>
      <c r="D47" s="3">
        <v>275</v>
      </c>
      <c r="E47" s="3">
        <v>368454</v>
      </c>
      <c r="F47" s="3">
        <v>6.03</v>
      </c>
      <c r="G47" s="3">
        <v>9195</v>
      </c>
      <c r="H47">
        <f>C47-D47</f>
        <v>637</v>
      </c>
      <c r="I47" t="str">
        <f>YEAR(A47) &amp; "-W" &amp; TEXT(_xlfn.ISOWEEKNUM(A47),"00")</f>
        <v>2024-W37</v>
      </c>
      <c r="J47" s="3"/>
      <c r="L47">
        <f t="shared" si="0"/>
        <v>-2.7667452848070932E-2</v>
      </c>
    </row>
    <row r="48" spans="1:12">
      <c r="A48" s="8">
        <v>45544</v>
      </c>
      <c r="B48" s="1" t="s">
        <v>24</v>
      </c>
      <c r="C48" s="3">
        <v>1430</v>
      </c>
      <c r="D48" s="3">
        <v>162</v>
      </c>
      <c r="E48" s="3">
        <v>269082</v>
      </c>
      <c r="F48" s="3">
        <v>3.4</v>
      </c>
      <c r="G48" s="3">
        <v>18071</v>
      </c>
      <c r="H48">
        <f>C48-D48</f>
        <v>1268</v>
      </c>
      <c r="I48" t="str">
        <f>YEAR(A48) &amp; "-W" &amp; TEXT(_xlfn.ISOWEEKNUM(A48),"00")</f>
        <v>2024-W37</v>
      </c>
      <c r="J48" s="3"/>
      <c r="L48">
        <f t="shared" si="0"/>
        <v>-3.1046624280274635E-2</v>
      </c>
    </row>
    <row r="49" spans="1:12">
      <c r="A49" s="8">
        <v>45544</v>
      </c>
      <c r="B49" s="1" t="s">
        <v>31</v>
      </c>
      <c r="C49" s="3">
        <v>854</v>
      </c>
      <c r="D49" s="3">
        <v>129</v>
      </c>
      <c r="E49" s="3">
        <v>310903</v>
      </c>
      <c r="F49" s="3">
        <v>7.83</v>
      </c>
      <c r="G49" s="3">
        <v>16875</v>
      </c>
      <c r="H49">
        <f>C49-D49</f>
        <v>725</v>
      </c>
      <c r="I49" t="str">
        <f>YEAR(A49) &amp; "-W" &amp; TEXT(_xlfn.ISOWEEKNUM(A49),"00")</f>
        <v>2024-W37</v>
      </c>
      <c r="J49" s="3"/>
      <c r="L49">
        <f t="shared" si="0"/>
        <v>-3.4448111770492409E-2</v>
      </c>
    </row>
    <row r="50" spans="1:12">
      <c r="A50" s="8">
        <v>45551</v>
      </c>
      <c r="B50" s="1" t="s">
        <v>14</v>
      </c>
      <c r="C50" s="3">
        <v>681</v>
      </c>
      <c r="D50" s="3">
        <v>210</v>
      </c>
      <c r="E50" s="3">
        <v>248581</v>
      </c>
      <c r="F50" s="3">
        <v>8.76</v>
      </c>
      <c r="G50" s="3">
        <v>9567</v>
      </c>
      <c r="H50">
        <f>C50-D50</f>
        <v>471</v>
      </c>
      <c r="I50" t="str">
        <f>YEAR(A50) &amp; "-W" &amp; TEXT(_xlfn.ISOWEEKNUM(A50),"00")</f>
        <v>2024-W38</v>
      </c>
      <c r="J50" s="3"/>
      <c r="L50">
        <f t="shared" si="0"/>
        <v>-3.4288235034452261E-2</v>
      </c>
    </row>
    <row r="51" spans="1:12">
      <c r="A51" s="8">
        <v>45551</v>
      </c>
      <c r="B51" s="1" t="s">
        <v>24</v>
      </c>
      <c r="C51" s="3">
        <v>1373</v>
      </c>
      <c r="D51" s="3">
        <v>82</v>
      </c>
      <c r="E51" s="3">
        <v>371015</v>
      </c>
      <c r="F51" s="3">
        <v>9.52</v>
      </c>
      <c r="G51" s="3">
        <v>20306</v>
      </c>
      <c r="H51">
        <f>C51-D51</f>
        <v>1291</v>
      </c>
      <c r="I51" t="str">
        <f>YEAR(A51) &amp; "-W" &amp; TEXT(_xlfn.ISOWEEKNUM(A51),"00")</f>
        <v>2024-W38</v>
      </c>
      <c r="J51" s="3"/>
      <c r="L51">
        <f t="shared" si="0"/>
        <v>-4.1088002858523306E-2</v>
      </c>
    </row>
    <row r="52" spans="1:12">
      <c r="A52" s="8">
        <v>45551</v>
      </c>
      <c r="B52" s="1" t="s">
        <v>31</v>
      </c>
      <c r="C52" s="3">
        <v>685</v>
      </c>
      <c r="D52" s="3">
        <v>285</v>
      </c>
      <c r="E52" s="3">
        <v>177452</v>
      </c>
      <c r="F52" s="3">
        <v>3.36</v>
      </c>
      <c r="G52" s="3">
        <v>21134</v>
      </c>
      <c r="H52">
        <f>C52-D52</f>
        <v>400</v>
      </c>
      <c r="I52" t="str">
        <f>YEAR(A52) &amp; "-W" &amp; TEXT(_xlfn.ISOWEEKNUM(A52),"00")</f>
        <v>2024-W38</v>
      </c>
      <c r="J52" s="3"/>
      <c r="L52">
        <f t="shared" si="0"/>
        <v>-4.8512330230354735E-2</v>
      </c>
    </row>
    <row r="53" spans="1:12">
      <c r="A53" s="8">
        <v>45558</v>
      </c>
      <c r="B53" s="1" t="s">
        <v>14</v>
      </c>
      <c r="C53" s="3">
        <v>1290</v>
      </c>
      <c r="D53" s="3">
        <v>177</v>
      </c>
      <c r="E53" s="3">
        <v>80745</v>
      </c>
      <c r="F53" s="3">
        <v>9.2200000000000006</v>
      </c>
      <c r="G53" s="3">
        <v>26872</v>
      </c>
      <c r="H53">
        <f>C53-D53</f>
        <v>1113</v>
      </c>
      <c r="I53" t="str">
        <f>YEAR(A53) &amp; "-W" &amp; TEXT(_xlfn.ISOWEEKNUM(A53),"00")</f>
        <v>2024-W39</v>
      </c>
      <c r="J53" s="3"/>
      <c r="L53">
        <f t="shared" si="0"/>
        <v>-4.2394166168063081E-2</v>
      </c>
    </row>
    <row r="54" spans="1:12">
      <c r="A54" s="8">
        <v>45558</v>
      </c>
      <c r="B54" s="1" t="s">
        <v>24</v>
      </c>
      <c r="C54" s="3">
        <v>1437</v>
      </c>
      <c r="D54" s="3">
        <v>239</v>
      </c>
      <c r="E54" s="3">
        <v>362441</v>
      </c>
      <c r="F54" s="3">
        <v>5.57</v>
      </c>
      <c r="G54" s="3">
        <v>10253</v>
      </c>
      <c r="H54">
        <f>C54-D54</f>
        <v>1198</v>
      </c>
      <c r="I54" t="str">
        <f>YEAR(A54) &amp; "-W" &amp; TEXT(_xlfn.ISOWEEKNUM(A54),"00")</f>
        <v>2024-W39</v>
      </c>
      <c r="J54" s="3"/>
      <c r="L54">
        <f t="shared" si="0"/>
        <v>-5.4782096775241443E-2</v>
      </c>
    </row>
    <row r="55" spans="1:12">
      <c r="A55" s="8">
        <v>45558</v>
      </c>
      <c r="B55" s="1" t="s">
        <v>31</v>
      </c>
      <c r="C55" s="3">
        <v>769</v>
      </c>
      <c r="D55" s="3">
        <v>295</v>
      </c>
      <c r="E55" s="3">
        <v>344771</v>
      </c>
      <c r="F55" s="3">
        <v>8.06</v>
      </c>
      <c r="G55" s="3">
        <v>23963</v>
      </c>
      <c r="H55">
        <f>C55-D55</f>
        <v>474</v>
      </c>
      <c r="I55" t="str">
        <f>YEAR(A55) &amp; "-W" &amp; TEXT(_xlfn.ISOWEEKNUM(A55),"00")</f>
        <v>2024-W39</v>
      </c>
      <c r="J55" s="3"/>
      <c r="L55">
        <f t="shared" si="0"/>
        <v>-4.7372887030013237E-2</v>
      </c>
    </row>
    <row r="56" spans="1:12">
      <c r="A56" s="8">
        <v>45565</v>
      </c>
      <c r="B56" s="1" t="s">
        <v>14</v>
      </c>
      <c r="C56" s="3">
        <v>1416</v>
      </c>
      <c r="D56" s="3">
        <v>284</v>
      </c>
      <c r="E56" s="3">
        <v>374952</v>
      </c>
      <c r="F56" s="3">
        <v>3.45</v>
      </c>
      <c r="G56" s="3">
        <v>11335</v>
      </c>
      <c r="H56">
        <f>C56-D56</f>
        <v>1132</v>
      </c>
      <c r="I56" t="str">
        <f>YEAR(A56) &amp; "-W" &amp; TEXT(_xlfn.ISOWEEKNUM(A56),"00")</f>
        <v>2024-W40</v>
      </c>
      <c r="J56" s="3"/>
      <c r="L56">
        <f t="shared" si="0"/>
        <v>-3.939701565050039E-2</v>
      </c>
    </row>
    <row r="57" spans="1:12">
      <c r="A57" s="8">
        <v>45565</v>
      </c>
      <c r="B57" s="1" t="s">
        <v>24</v>
      </c>
      <c r="C57" s="3">
        <v>998</v>
      </c>
      <c r="D57" s="3">
        <v>154</v>
      </c>
      <c r="E57" s="3">
        <v>179781</v>
      </c>
      <c r="F57" s="3">
        <v>9.58</v>
      </c>
      <c r="G57" s="3">
        <v>12115</v>
      </c>
      <c r="H57">
        <f>C57-D57</f>
        <v>844</v>
      </c>
      <c r="I57" t="str">
        <f>YEAR(A57) &amp; "-W" &amp; TEXT(_xlfn.ISOWEEKNUM(A57),"00")</f>
        <v>2024-W40</v>
      </c>
      <c r="J57" s="3"/>
      <c r="L57">
        <f t="shared" si="0"/>
        <v>-3.420524114910653E-2</v>
      </c>
    </row>
    <row r="58" spans="1:12">
      <c r="A58" s="8">
        <v>45565</v>
      </c>
      <c r="B58" s="1" t="s">
        <v>31</v>
      </c>
      <c r="C58" s="3">
        <v>1421</v>
      </c>
      <c r="D58" s="3">
        <v>246</v>
      </c>
      <c r="E58" s="3">
        <v>358581</v>
      </c>
      <c r="F58" s="3">
        <v>8.8800000000000008</v>
      </c>
      <c r="G58" s="3">
        <v>24358</v>
      </c>
      <c r="H58">
        <f>C58-D58</f>
        <v>1175</v>
      </c>
      <c r="I58" t="str">
        <f>YEAR(A58) &amp; "-W" &amp; TEXT(_xlfn.ISOWEEKNUM(A58),"00")</f>
        <v>2024-W40</v>
      </c>
      <c r="J58" s="3"/>
      <c r="L58">
        <f t="shared" si="0"/>
        <v>-3.3435155233550645E-2</v>
      </c>
    </row>
    <row r="59" spans="1:12">
      <c r="A59" s="8">
        <v>45572</v>
      </c>
      <c r="B59" s="1" t="s">
        <v>14</v>
      </c>
      <c r="C59" s="3">
        <v>764</v>
      </c>
      <c r="D59" s="3">
        <v>205</v>
      </c>
      <c r="E59" s="3">
        <v>319294</v>
      </c>
      <c r="F59" s="3">
        <v>6.23</v>
      </c>
      <c r="G59" s="3">
        <v>12181</v>
      </c>
      <c r="H59">
        <f>C59-D59</f>
        <v>559</v>
      </c>
      <c r="I59" t="str">
        <f>YEAR(A59) &amp; "-W" &amp; TEXT(_xlfn.ISOWEEKNUM(A59),"00")</f>
        <v>2024-W41</v>
      </c>
      <c r="J59" s="3"/>
      <c r="L59">
        <f t="shared" si="0"/>
        <v>-4.5263168008905612E-2</v>
      </c>
    </row>
    <row r="60" spans="1:12">
      <c r="A60" s="8">
        <v>45572</v>
      </c>
      <c r="B60" s="1" t="s">
        <v>24</v>
      </c>
      <c r="C60" s="3">
        <v>678</v>
      </c>
      <c r="D60" s="3">
        <v>124</v>
      </c>
      <c r="E60" s="3">
        <v>192022</v>
      </c>
      <c r="F60" s="3">
        <v>8.4499999999999993</v>
      </c>
      <c r="G60" s="3">
        <v>17729</v>
      </c>
      <c r="H60">
        <f>C60-D60</f>
        <v>554</v>
      </c>
      <c r="I60" t="str">
        <f>YEAR(A60) &amp; "-W" &amp; TEXT(_xlfn.ISOWEEKNUM(A60),"00")</f>
        <v>2024-W41</v>
      </c>
      <c r="J60" s="3"/>
      <c r="L60">
        <f t="shared" si="0"/>
        <v>-4.8235739815854939E-2</v>
      </c>
    </row>
    <row r="61" spans="1:12">
      <c r="A61" s="8">
        <v>45572</v>
      </c>
      <c r="B61" s="1" t="s">
        <v>31</v>
      </c>
      <c r="C61" s="3">
        <v>1328</v>
      </c>
      <c r="D61" s="3">
        <v>103</v>
      </c>
      <c r="E61" s="3">
        <v>151462</v>
      </c>
      <c r="F61" s="3">
        <v>8.4</v>
      </c>
      <c r="G61" s="3">
        <v>10881</v>
      </c>
      <c r="H61">
        <f>C61-D61</f>
        <v>1225</v>
      </c>
      <c r="I61" t="str">
        <f>YEAR(A61) &amp; "-W" &amp; TEXT(_xlfn.ISOWEEKNUM(A61),"00")</f>
        <v>2024-W41</v>
      </c>
      <c r="J61" s="3"/>
      <c r="L61">
        <f t="shared" si="0"/>
        <v>-4.6926305561460657E-2</v>
      </c>
    </row>
    <row r="62" spans="1:12">
      <c r="A62" s="8">
        <v>45579</v>
      </c>
      <c r="B62" s="1" t="s">
        <v>14</v>
      </c>
      <c r="C62" s="3">
        <v>1161</v>
      </c>
      <c r="D62" s="3">
        <v>269</v>
      </c>
      <c r="E62" s="3">
        <v>188193</v>
      </c>
      <c r="F62" s="3">
        <v>7.34</v>
      </c>
      <c r="G62" s="3">
        <v>18576</v>
      </c>
      <c r="H62">
        <f>C62-D62</f>
        <v>892</v>
      </c>
      <c r="I62" t="str">
        <f>YEAR(A62) &amp; "-W" &amp; TEXT(_xlfn.ISOWEEKNUM(A62),"00")</f>
        <v>2024-W42</v>
      </c>
      <c r="J62" s="3"/>
      <c r="L62">
        <f t="shared" si="0"/>
        <v>-3.9531435268989834E-2</v>
      </c>
    </row>
    <row r="63" spans="1:12">
      <c r="A63" s="8">
        <v>45579</v>
      </c>
      <c r="B63" s="1" t="s">
        <v>24</v>
      </c>
      <c r="C63" s="3">
        <v>588</v>
      </c>
      <c r="D63" s="3">
        <v>52</v>
      </c>
      <c r="E63" s="3">
        <v>292040</v>
      </c>
      <c r="F63" s="3">
        <v>8.14</v>
      </c>
      <c r="G63" s="3">
        <v>9383</v>
      </c>
      <c r="H63">
        <f>C63-D63</f>
        <v>536</v>
      </c>
      <c r="I63" t="str">
        <f>YEAR(A63) &amp; "-W" &amp; TEXT(_xlfn.ISOWEEKNUM(A63),"00")</f>
        <v>2024-W42</v>
      </c>
      <c r="J63" s="3"/>
      <c r="L63">
        <f t="shared" si="0"/>
        <v>-4.0619595780910976E-2</v>
      </c>
    </row>
    <row r="64" spans="1:12">
      <c r="A64" s="8">
        <v>45579</v>
      </c>
      <c r="B64" s="1" t="s">
        <v>31</v>
      </c>
      <c r="C64" s="3">
        <v>1457</v>
      </c>
      <c r="D64" s="3">
        <v>215</v>
      </c>
      <c r="E64" s="3">
        <v>325325</v>
      </c>
      <c r="F64" s="3">
        <v>9.58</v>
      </c>
      <c r="G64" s="3">
        <v>14178</v>
      </c>
      <c r="H64">
        <f>C64-D64</f>
        <v>1242</v>
      </c>
      <c r="I64" t="str">
        <f>YEAR(A64) &amp; "-W" &amp; TEXT(_xlfn.ISOWEEKNUM(A64),"00")</f>
        <v>2024-W42</v>
      </c>
      <c r="J64" s="3"/>
      <c r="L64">
        <f t="shared" si="0"/>
        <v>-4.6457934157776659E-2</v>
      </c>
    </row>
    <row r="65" spans="1:12">
      <c r="A65" s="8">
        <v>45586</v>
      </c>
      <c r="B65" s="1" t="s">
        <v>14</v>
      </c>
      <c r="C65" s="3">
        <v>1190</v>
      </c>
      <c r="D65" s="3">
        <v>242</v>
      </c>
      <c r="E65" s="3">
        <v>86849</v>
      </c>
      <c r="F65" s="3">
        <v>8.06</v>
      </c>
      <c r="G65" s="3">
        <v>21254</v>
      </c>
      <c r="H65">
        <f>C65-D65</f>
        <v>948</v>
      </c>
      <c r="I65" t="str">
        <f>YEAR(A65) &amp; "-W" &amp; TEXT(_xlfn.ISOWEEKNUM(A65),"00")</f>
        <v>2024-W43</v>
      </c>
      <c r="J65" s="3"/>
      <c r="L65">
        <f t="shared" si="0"/>
        <v>-4.3884768543534548E-2</v>
      </c>
    </row>
    <row r="66" spans="1:12">
      <c r="A66" s="8">
        <v>45586</v>
      </c>
      <c r="B66" s="1" t="s">
        <v>24</v>
      </c>
      <c r="C66" s="3">
        <v>886</v>
      </c>
      <c r="D66" s="3">
        <v>124</v>
      </c>
      <c r="E66" s="3">
        <v>141161</v>
      </c>
      <c r="F66" s="3">
        <v>8.19</v>
      </c>
      <c r="G66" s="3">
        <v>14215</v>
      </c>
      <c r="H66">
        <f>C66-D66</f>
        <v>762</v>
      </c>
      <c r="I66" t="str">
        <f>YEAR(A66) &amp; "-W" &amp; TEXT(_xlfn.ISOWEEKNUM(A66),"00")</f>
        <v>2024-W43</v>
      </c>
      <c r="J66" s="3"/>
      <c r="L66">
        <f t="shared" si="0"/>
        <v>-4.7272115346373794E-2</v>
      </c>
    </row>
    <row r="67" spans="1:12">
      <c r="A67" s="8">
        <v>45586</v>
      </c>
      <c r="B67" s="1" t="s">
        <v>31</v>
      </c>
      <c r="C67" s="3">
        <v>1237</v>
      </c>
      <c r="D67" s="3">
        <v>155</v>
      </c>
      <c r="E67" s="3">
        <v>149916</v>
      </c>
      <c r="F67" s="3">
        <v>4.4800000000000004</v>
      </c>
      <c r="G67" s="3">
        <v>16921</v>
      </c>
      <c r="H67">
        <f>C67-D67</f>
        <v>1082</v>
      </c>
      <c r="I67" t="str">
        <f>YEAR(A67) &amp; "-W" &amp; TEXT(_xlfn.ISOWEEKNUM(A67),"00")</f>
        <v>2024-W43</v>
      </c>
      <c r="J67" s="3"/>
      <c r="L67">
        <f t="shared" ref="L67:L130" si="1">CORREL(G67:G267, H67:H267)</f>
        <v>-4.7364330292521142E-2</v>
      </c>
    </row>
    <row r="68" spans="1:12">
      <c r="A68" s="8">
        <v>45593</v>
      </c>
      <c r="B68" s="1" t="s">
        <v>14</v>
      </c>
      <c r="C68" s="3">
        <v>1435</v>
      </c>
      <c r="D68" s="3">
        <v>261</v>
      </c>
      <c r="E68" s="3">
        <v>308533</v>
      </c>
      <c r="F68" s="3">
        <v>4.5199999999999996</v>
      </c>
      <c r="G68" s="3">
        <v>25130</v>
      </c>
      <c r="H68">
        <f>C68-D68</f>
        <v>1174</v>
      </c>
      <c r="I68" t="str">
        <f>YEAR(A68) &amp; "-W" &amp; TEXT(_xlfn.ISOWEEKNUM(A68),"00")</f>
        <v>2024-W44</v>
      </c>
      <c r="J68" s="3"/>
      <c r="L68">
        <f t="shared" si="1"/>
        <v>-4.859795141006161E-2</v>
      </c>
    </row>
    <row r="69" spans="1:12">
      <c r="A69" s="8">
        <v>45593</v>
      </c>
      <c r="B69" s="1" t="s">
        <v>24</v>
      </c>
      <c r="C69" s="3">
        <v>746</v>
      </c>
      <c r="D69" s="3">
        <v>282</v>
      </c>
      <c r="E69" s="3">
        <v>293894</v>
      </c>
      <c r="F69" s="3">
        <v>5.42</v>
      </c>
      <c r="G69" s="3">
        <v>25537</v>
      </c>
      <c r="H69">
        <f>C69-D69</f>
        <v>464</v>
      </c>
      <c r="I69" t="str">
        <f>YEAR(A69) &amp; "-W" &amp; TEXT(_xlfn.ISOWEEKNUM(A69),"00")</f>
        <v>2024-W44</v>
      </c>
      <c r="J69" s="3"/>
      <c r="L69">
        <f t="shared" si="1"/>
        <v>-6.2665399793329954E-2</v>
      </c>
    </row>
    <row r="70" spans="1:12">
      <c r="A70" s="8">
        <v>45593</v>
      </c>
      <c r="B70" s="1" t="s">
        <v>31</v>
      </c>
      <c r="C70" s="3">
        <v>759</v>
      </c>
      <c r="D70" s="3">
        <v>216</v>
      </c>
      <c r="E70" s="3">
        <v>147656</v>
      </c>
      <c r="F70" s="3">
        <v>4.08</v>
      </c>
      <c r="G70" s="3">
        <v>24943</v>
      </c>
      <c r="H70">
        <f>C70-D70</f>
        <v>543</v>
      </c>
      <c r="I70" t="str">
        <f>YEAR(A70) &amp; "-W" &amp; TEXT(_xlfn.ISOWEEKNUM(A70),"00")</f>
        <v>2024-W44</v>
      </c>
      <c r="J70" s="3"/>
      <c r="L70">
        <f t="shared" si="1"/>
        <v>-5.2515718319860634E-2</v>
      </c>
    </row>
    <row r="71" spans="1:12">
      <c r="A71" s="8">
        <v>45600</v>
      </c>
      <c r="B71" s="1" t="s">
        <v>14</v>
      </c>
      <c r="C71" s="3">
        <v>1437</v>
      </c>
      <c r="D71" s="3">
        <v>235</v>
      </c>
      <c r="E71" s="3">
        <v>326791</v>
      </c>
      <c r="F71" s="3">
        <v>4.0599999999999996</v>
      </c>
      <c r="G71" s="3">
        <v>14563</v>
      </c>
      <c r="H71">
        <f>C71-D71</f>
        <v>1202</v>
      </c>
      <c r="I71" t="str">
        <f>YEAR(A71) &amp; "-W" &amp; TEXT(_xlfn.ISOWEEKNUM(A71),"00")</f>
        <v>2024-W45</v>
      </c>
      <c r="J71" s="3"/>
      <c r="L71">
        <f t="shared" si="1"/>
        <v>-4.5220224537956308E-2</v>
      </c>
    </row>
    <row r="72" spans="1:12">
      <c r="A72" s="8">
        <v>45600</v>
      </c>
      <c r="B72" s="1" t="s">
        <v>24</v>
      </c>
      <c r="C72" s="3">
        <v>1463</v>
      </c>
      <c r="D72" s="3">
        <v>73</v>
      </c>
      <c r="E72" s="3">
        <v>348877</v>
      </c>
      <c r="F72" s="3">
        <v>9.91</v>
      </c>
      <c r="G72" s="3">
        <v>26273</v>
      </c>
      <c r="H72">
        <f>C72-D72</f>
        <v>1390</v>
      </c>
      <c r="I72" t="str">
        <f>YEAR(A72) &amp; "-W" &amp; TEXT(_xlfn.ISOWEEKNUM(A72),"00")</f>
        <v>2024-W45</v>
      </c>
      <c r="J72" s="3"/>
      <c r="L72">
        <f t="shared" si="1"/>
        <v>-4.3662923964584772E-2</v>
      </c>
    </row>
    <row r="73" spans="1:12">
      <c r="A73" s="8">
        <v>45600</v>
      </c>
      <c r="B73" s="1" t="s">
        <v>31</v>
      </c>
      <c r="C73" s="3">
        <v>1208</v>
      </c>
      <c r="D73" s="3">
        <v>224</v>
      </c>
      <c r="E73" s="3">
        <v>122730</v>
      </c>
      <c r="F73" s="3">
        <v>8.7200000000000006</v>
      </c>
      <c r="G73" s="3">
        <v>10858</v>
      </c>
      <c r="H73">
        <f>C73-D73</f>
        <v>984</v>
      </c>
      <c r="I73" t="str">
        <f>YEAR(A73) &amp; "-W" &amp; TEXT(_xlfn.ISOWEEKNUM(A73),"00")</f>
        <v>2024-W45</v>
      </c>
      <c r="J73" s="3"/>
      <c r="L73">
        <f t="shared" si="1"/>
        <v>-6.9874342931144737E-2</v>
      </c>
    </row>
    <row r="74" spans="1:12">
      <c r="A74" s="8">
        <v>45607</v>
      </c>
      <c r="B74" s="1" t="s">
        <v>14</v>
      </c>
      <c r="C74" s="3">
        <v>1391</v>
      </c>
      <c r="D74" s="3">
        <v>187</v>
      </c>
      <c r="E74" s="3">
        <v>306508</v>
      </c>
      <c r="F74" s="3">
        <v>8.3800000000000008</v>
      </c>
      <c r="G74" s="3">
        <v>25038</v>
      </c>
      <c r="H74">
        <f>C74-D74</f>
        <v>1204</v>
      </c>
      <c r="I74" t="str">
        <f>YEAR(A74) &amp; "-W" &amp; TEXT(_xlfn.ISOWEEKNUM(A74),"00")</f>
        <v>2024-W46</v>
      </c>
      <c r="J74" s="3"/>
      <c r="L74">
        <f t="shared" si="1"/>
        <v>-6.608985194690116E-2</v>
      </c>
    </row>
    <row r="75" spans="1:12">
      <c r="A75" s="8">
        <v>45607</v>
      </c>
      <c r="B75" s="1" t="s">
        <v>24</v>
      </c>
      <c r="C75" s="3">
        <v>655</v>
      </c>
      <c r="D75" s="3">
        <v>123</v>
      </c>
      <c r="E75" s="3">
        <v>202472</v>
      </c>
      <c r="F75" s="3">
        <v>7.56</v>
      </c>
      <c r="G75" s="3">
        <v>9092</v>
      </c>
      <c r="H75">
        <f>C75-D75</f>
        <v>532</v>
      </c>
      <c r="I75" t="str">
        <f>YEAR(A75) &amp; "-W" &amp; TEXT(_xlfn.ISOWEEKNUM(A75),"00")</f>
        <v>2024-W46</v>
      </c>
      <c r="J75" s="3"/>
      <c r="L75">
        <f t="shared" si="1"/>
        <v>-8.327126607726279E-2</v>
      </c>
    </row>
    <row r="76" spans="1:12">
      <c r="A76" s="8">
        <v>45607</v>
      </c>
      <c r="B76" s="1" t="s">
        <v>31</v>
      </c>
      <c r="C76" s="3">
        <v>1148</v>
      </c>
      <c r="D76" s="3">
        <v>90</v>
      </c>
      <c r="E76" s="3">
        <v>227249</v>
      </c>
      <c r="F76" s="3">
        <v>7.24</v>
      </c>
      <c r="G76" s="3">
        <v>17662</v>
      </c>
      <c r="H76">
        <f>C76-D76</f>
        <v>1058</v>
      </c>
      <c r="I76" t="str">
        <f>YEAR(A76) &amp; "-W" &amp; TEXT(_xlfn.ISOWEEKNUM(A76),"00")</f>
        <v>2024-W46</v>
      </c>
      <c r="J76" s="3"/>
      <c r="L76">
        <f t="shared" si="1"/>
        <v>-8.9693180533039388E-2</v>
      </c>
    </row>
    <row r="77" spans="1:12">
      <c r="A77" s="8">
        <v>45614</v>
      </c>
      <c r="B77" s="1" t="s">
        <v>14</v>
      </c>
      <c r="C77" s="3">
        <v>946</v>
      </c>
      <c r="D77" s="3">
        <v>270</v>
      </c>
      <c r="E77" s="3">
        <v>246567</v>
      </c>
      <c r="F77" s="3">
        <v>4.53</v>
      </c>
      <c r="G77" s="3">
        <v>5924</v>
      </c>
      <c r="H77">
        <f>C77-D77</f>
        <v>676</v>
      </c>
      <c r="I77" t="str">
        <f>YEAR(A77) &amp; "-W" &amp; TEXT(_xlfn.ISOWEEKNUM(A77),"00")</f>
        <v>2024-W47</v>
      </c>
      <c r="J77" s="3"/>
      <c r="L77">
        <f t="shared" si="1"/>
        <v>-9.2383241567420185E-2</v>
      </c>
    </row>
    <row r="78" spans="1:12">
      <c r="A78" s="8">
        <v>45614</v>
      </c>
      <c r="B78" s="1" t="s">
        <v>24</v>
      </c>
      <c r="C78" s="3">
        <v>791</v>
      </c>
      <c r="D78" s="3">
        <v>214</v>
      </c>
      <c r="E78" s="3">
        <v>114738</v>
      </c>
      <c r="F78" s="3">
        <v>6.62</v>
      </c>
      <c r="G78" s="3">
        <v>25347</v>
      </c>
      <c r="H78">
        <f>C78-D78</f>
        <v>577</v>
      </c>
      <c r="I78" t="str">
        <f>YEAR(A78) &amp; "-W" &amp; TEXT(_xlfn.ISOWEEKNUM(A78),"00")</f>
        <v>2024-W47</v>
      </c>
      <c r="J78" s="3"/>
      <c r="L78">
        <f t="shared" si="1"/>
        <v>-9.6474760740742974E-2</v>
      </c>
    </row>
    <row r="79" spans="1:12">
      <c r="A79" s="8">
        <v>45614</v>
      </c>
      <c r="B79" s="1" t="s">
        <v>31</v>
      </c>
      <c r="C79" s="3">
        <v>793</v>
      </c>
      <c r="D79" s="3">
        <v>111</v>
      </c>
      <c r="E79" s="3">
        <v>333500</v>
      </c>
      <c r="F79" s="3">
        <v>6.36</v>
      </c>
      <c r="G79" s="3">
        <v>8910</v>
      </c>
      <c r="H79">
        <f>C79-D79</f>
        <v>682</v>
      </c>
      <c r="I79" t="str">
        <f>YEAR(A79) &amp; "-W" &amp; TEXT(_xlfn.ISOWEEKNUM(A79),"00")</f>
        <v>2024-W47</v>
      </c>
      <c r="J79" s="3"/>
      <c r="L79">
        <f t="shared" si="1"/>
        <v>-9.030722883887643E-2</v>
      </c>
    </row>
    <row r="80" spans="1:12">
      <c r="A80" s="8">
        <v>45621</v>
      </c>
      <c r="B80" s="1" t="s">
        <v>14</v>
      </c>
      <c r="C80" s="3">
        <v>663</v>
      </c>
      <c r="D80" s="3">
        <v>213</v>
      </c>
      <c r="E80" s="3">
        <v>352677</v>
      </c>
      <c r="F80" s="3">
        <v>9</v>
      </c>
      <c r="G80" s="3">
        <v>20438</v>
      </c>
      <c r="H80">
        <f>C80-D80</f>
        <v>450</v>
      </c>
      <c r="I80" t="str">
        <f>YEAR(A80) &amp; "-W" &amp; TEXT(_xlfn.ISOWEEKNUM(A80),"00")</f>
        <v>2024-W48</v>
      </c>
      <c r="J80" s="3"/>
      <c r="L80">
        <f t="shared" si="1"/>
        <v>-9.2915153408159867E-2</v>
      </c>
    </row>
    <row r="81" spans="1:12">
      <c r="A81" s="8">
        <v>45621</v>
      </c>
      <c r="B81" s="1" t="s">
        <v>24</v>
      </c>
      <c r="C81" s="3">
        <v>954</v>
      </c>
      <c r="D81" s="3">
        <v>271</v>
      </c>
      <c r="E81" s="3">
        <v>160936</v>
      </c>
      <c r="F81" s="3">
        <v>8.83</v>
      </c>
      <c r="G81" s="3">
        <v>8760</v>
      </c>
      <c r="H81">
        <f>C81-D81</f>
        <v>683</v>
      </c>
      <c r="I81" t="str">
        <f>YEAR(A81) &amp; "-W" &amp; TEXT(_xlfn.ISOWEEKNUM(A81),"00")</f>
        <v>2024-W48</v>
      </c>
      <c r="J81" s="3"/>
      <c r="L81">
        <f t="shared" si="1"/>
        <v>-8.7501816947080896E-2</v>
      </c>
    </row>
    <row r="82" spans="1:12">
      <c r="A82" s="8">
        <v>45621</v>
      </c>
      <c r="B82" s="1" t="s">
        <v>31</v>
      </c>
      <c r="C82" s="3">
        <v>1313</v>
      </c>
      <c r="D82" s="3">
        <v>159</v>
      </c>
      <c r="E82" s="3">
        <v>197183</v>
      </c>
      <c r="F82" s="3">
        <v>9.7100000000000009</v>
      </c>
      <c r="G82" s="3">
        <v>6625</v>
      </c>
      <c r="H82">
        <f>C82-D82</f>
        <v>1154</v>
      </c>
      <c r="I82" t="str">
        <f>YEAR(A82) &amp; "-W" &amp; TEXT(_xlfn.ISOWEEKNUM(A82),"00")</f>
        <v>2024-W48</v>
      </c>
      <c r="J82" s="3"/>
      <c r="L82">
        <f t="shared" si="1"/>
        <v>-9.0266047789779993E-2</v>
      </c>
    </row>
    <row r="83" spans="1:12">
      <c r="A83" s="8">
        <v>45628</v>
      </c>
      <c r="B83" s="1" t="s">
        <v>14</v>
      </c>
      <c r="C83" s="3">
        <v>895</v>
      </c>
      <c r="D83" s="3">
        <v>87</v>
      </c>
      <c r="E83" s="3">
        <v>171271</v>
      </c>
      <c r="F83" s="3">
        <v>6.68</v>
      </c>
      <c r="G83" s="3">
        <v>23329</v>
      </c>
      <c r="H83">
        <f>C83-D83</f>
        <v>808</v>
      </c>
      <c r="I83" t="str">
        <f>YEAR(A83) &amp; "-W" &amp; TEXT(_xlfn.ISOWEEKNUM(A83),"00")</f>
        <v>2024-W49</v>
      </c>
      <c r="J83" s="3"/>
      <c r="L83">
        <f t="shared" si="1"/>
        <v>-7.6831169193123217E-2</v>
      </c>
    </row>
    <row r="84" spans="1:12">
      <c r="A84" s="8">
        <v>45628</v>
      </c>
      <c r="B84" s="1" t="s">
        <v>24</v>
      </c>
      <c r="C84" s="3">
        <v>1027</v>
      </c>
      <c r="D84" s="3">
        <v>156</v>
      </c>
      <c r="E84" s="3">
        <v>111293</v>
      </c>
      <c r="F84" s="3">
        <v>5.51</v>
      </c>
      <c r="G84" s="3">
        <v>7299</v>
      </c>
      <c r="H84">
        <f>C84-D84</f>
        <v>871</v>
      </c>
      <c r="I84" t="str">
        <f>YEAR(A84) &amp; "-W" &amp; TEXT(_xlfn.ISOWEEKNUM(A84),"00")</f>
        <v>2024-W49</v>
      </c>
      <c r="J84" s="3"/>
      <c r="L84">
        <f t="shared" si="1"/>
        <v>-7.8673552467690047E-2</v>
      </c>
    </row>
    <row r="85" spans="1:12">
      <c r="A85" s="8">
        <v>45628</v>
      </c>
      <c r="B85" s="1" t="s">
        <v>31</v>
      </c>
      <c r="C85" s="3">
        <v>990</v>
      </c>
      <c r="D85" s="3">
        <v>286</v>
      </c>
      <c r="E85" s="3">
        <v>351493</v>
      </c>
      <c r="F85" s="3">
        <v>7.97</v>
      </c>
      <c r="G85" s="3">
        <v>14496</v>
      </c>
      <c r="H85">
        <f>C85-D85</f>
        <v>704</v>
      </c>
      <c r="I85" t="str">
        <f>YEAR(A85) &amp; "-W" &amp; TEXT(_xlfn.ISOWEEKNUM(A85),"00")</f>
        <v>2024-W49</v>
      </c>
      <c r="J85" s="3"/>
      <c r="L85">
        <f t="shared" si="1"/>
        <v>-7.5374774759637594E-2</v>
      </c>
    </row>
    <row r="86" spans="1:12">
      <c r="A86" s="8">
        <v>45635</v>
      </c>
      <c r="B86" s="1" t="s">
        <v>14</v>
      </c>
      <c r="C86" s="3">
        <v>875</v>
      </c>
      <c r="D86" s="3">
        <v>264</v>
      </c>
      <c r="E86" s="3">
        <v>345631</v>
      </c>
      <c r="F86" s="3">
        <v>9.18</v>
      </c>
      <c r="G86" s="3">
        <v>25703</v>
      </c>
      <c r="H86">
        <f>C86-D86</f>
        <v>611</v>
      </c>
      <c r="I86" t="str">
        <f>YEAR(A86) &amp; "-W" &amp; TEXT(_xlfn.ISOWEEKNUM(A86),"00")</f>
        <v>2024-W50</v>
      </c>
      <c r="J86" s="3"/>
      <c r="L86">
        <f t="shared" si="1"/>
        <v>-7.5725513571698419E-2</v>
      </c>
    </row>
    <row r="87" spans="1:12">
      <c r="A87" s="8">
        <v>45635</v>
      </c>
      <c r="B87" s="1" t="s">
        <v>24</v>
      </c>
      <c r="C87" s="3">
        <v>599</v>
      </c>
      <c r="D87" s="3">
        <v>194</v>
      </c>
      <c r="E87" s="3">
        <v>105622</v>
      </c>
      <c r="F87" s="3">
        <v>6.44</v>
      </c>
      <c r="G87" s="3">
        <v>15108</v>
      </c>
      <c r="H87">
        <f>C87-D87</f>
        <v>405</v>
      </c>
      <c r="I87" t="str">
        <f>YEAR(A87) &amp; "-W" &amp; TEXT(_xlfn.ISOWEEKNUM(A87),"00")</f>
        <v>2024-W50</v>
      </c>
      <c r="J87" s="3"/>
      <c r="L87">
        <f t="shared" si="1"/>
        <v>-7.0177514371421404E-2</v>
      </c>
    </row>
    <row r="88" spans="1:12">
      <c r="A88" s="8">
        <v>45635</v>
      </c>
      <c r="B88" s="1" t="s">
        <v>31</v>
      </c>
      <c r="C88" s="3">
        <v>630</v>
      </c>
      <c r="D88" s="3">
        <v>248</v>
      </c>
      <c r="E88" s="3">
        <v>119054</v>
      </c>
      <c r="F88" s="3">
        <v>5.0199999999999996</v>
      </c>
      <c r="G88" s="3">
        <v>18867</v>
      </c>
      <c r="H88">
        <f>C88-D88</f>
        <v>382</v>
      </c>
      <c r="I88" t="str">
        <f>YEAR(A88) &amp; "-W" &amp; TEXT(_xlfn.ISOWEEKNUM(A88),"00")</f>
        <v>2024-W50</v>
      </c>
      <c r="J88" s="3"/>
      <c r="L88">
        <f t="shared" si="1"/>
        <v>-7.1611966799540544E-2</v>
      </c>
    </row>
    <row r="89" spans="1:12">
      <c r="A89" s="8">
        <v>45642</v>
      </c>
      <c r="B89" s="1" t="s">
        <v>14</v>
      </c>
      <c r="C89" s="3">
        <v>1350</v>
      </c>
      <c r="D89" s="3">
        <v>233</v>
      </c>
      <c r="E89" s="3">
        <v>171670</v>
      </c>
      <c r="F89" s="3">
        <v>4.53</v>
      </c>
      <c r="G89" s="3">
        <v>17574</v>
      </c>
      <c r="H89">
        <f>C89-D89</f>
        <v>1117</v>
      </c>
      <c r="I89" t="str">
        <f>YEAR(A89) &amp; "-W" &amp; TEXT(_xlfn.ISOWEEKNUM(A89),"00")</f>
        <v>2024-W51</v>
      </c>
      <c r="J89" s="3"/>
      <c r="L89">
        <f t="shared" si="1"/>
        <v>-6.7024493736597676E-2</v>
      </c>
    </row>
    <row r="90" spans="1:12">
      <c r="A90" s="8">
        <v>45642</v>
      </c>
      <c r="B90" s="1" t="s">
        <v>24</v>
      </c>
      <c r="C90" s="3">
        <v>632</v>
      </c>
      <c r="D90" s="3">
        <v>155</v>
      </c>
      <c r="E90" s="3">
        <v>170432</v>
      </c>
      <c r="F90" s="3">
        <v>9.17</v>
      </c>
      <c r="G90" s="3">
        <v>12840</v>
      </c>
      <c r="H90">
        <f>C90-D90</f>
        <v>477</v>
      </c>
      <c r="I90" t="str">
        <f>YEAR(A90) &amp; "-W" &amp; TEXT(_xlfn.ISOWEEKNUM(A90),"00")</f>
        <v>2024-W51</v>
      </c>
      <c r="J90" s="3"/>
      <c r="L90">
        <f t="shared" si="1"/>
        <v>-7.0202917674073689E-2</v>
      </c>
    </row>
    <row r="91" spans="1:12">
      <c r="A91" s="8">
        <v>45642</v>
      </c>
      <c r="B91" s="1" t="s">
        <v>31</v>
      </c>
      <c r="C91" s="3">
        <v>1182</v>
      </c>
      <c r="D91" s="3">
        <v>83</v>
      </c>
      <c r="E91" s="3">
        <v>140300</v>
      </c>
      <c r="F91" s="3">
        <v>3.27</v>
      </c>
      <c r="G91" s="3">
        <v>21079</v>
      </c>
      <c r="H91">
        <f>C91-D91</f>
        <v>1099</v>
      </c>
      <c r="I91" t="str">
        <f>YEAR(A91) &amp; "-W" &amp; TEXT(_xlfn.ISOWEEKNUM(A91),"00")</f>
        <v>2024-W51</v>
      </c>
      <c r="J91" s="3"/>
      <c r="L91">
        <f t="shared" si="1"/>
        <v>-7.4209206505355105E-2</v>
      </c>
    </row>
    <row r="92" spans="1:12">
      <c r="A92" s="8">
        <v>45649</v>
      </c>
      <c r="B92" s="1" t="s">
        <v>14</v>
      </c>
      <c r="C92" s="3">
        <v>661</v>
      </c>
      <c r="D92" s="3">
        <v>94</v>
      </c>
      <c r="E92" s="3">
        <v>116538</v>
      </c>
      <c r="F92" s="3">
        <v>5.31</v>
      </c>
      <c r="G92" s="3">
        <v>23486</v>
      </c>
      <c r="H92">
        <f>C92-D92</f>
        <v>567</v>
      </c>
      <c r="I92" t="str">
        <f>YEAR(A92) &amp; "-W" &amp; TEXT(_xlfn.ISOWEEKNUM(A92),"00")</f>
        <v>2024-W52</v>
      </c>
      <c r="J92" s="3"/>
      <c r="L92">
        <f t="shared" si="1"/>
        <v>-8.2568013689805847E-2</v>
      </c>
    </row>
    <row r="93" spans="1:12">
      <c r="A93" s="8">
        <v>45649</v>
      </c>
      <c r="B93" s="1" t="s">
        <v>24</v>
      </c>
      <c r="C93" s="3">
        <v>1360</v>
      </c>
      <c r="D93" s="3">
        <v>227</v>
      </c>
      <c r="E93" s="3">
        <v>176902</v>
      </c>
      <c r="F93" s="3">
        <v>6.03</v>
      </c>
      <c r="G93" s="3">
        <v>5960</v>
      </c>
      <c r="H93">
        <f>C93-D93</f>
        <v>1133</v>
      </c>
      <c r="I93" t="str">
        <f>YEAR(A93) &amp; "-W" &amp; TEXT(_xlfn.ISOWEEKNUM(A93),"00")</f>
        <v>2024-W52</v>
      </c>
      <c r="J93" s="3"/>
      <c r="L93">
        <f t="shared" si="1"/>
        <v>-7.6329183085140209E-2</v>
      </c>
    </row>
    <row r="94" spans="1:12">
      <c r="A94" s="8">
        <v>45649</v>
      </c>
      <c r="B94" s="1" t="s">
        <v>31</v>
      </c>
      <c r="C94" s="3">
        <v>935</v>
      </c>
      <c r="D94" s="3">
        <v>85</v>
      </c>
      <c r="E94" s="3">
        <v>326821</v>
      </c>
      <c r="F94" s="3">
        <v>8.89</v>
      </c>
      <c r="G94" s="3">
        <v>13301</v>
      </c>
      <c r="H94">
        <f>C94-D94</f>
        <v>850</v>
      </c>
      <c r="I94" t="str">
        <f>YEAR(A94) &amp; "-W" &amp; TEXT(_xlfn.ISOWEEKNUM(A94),"00")</f>
        <v>2024-W52</v>
      </c>
      <c r="J94" s="3"/>
      <c r="L94">
        <f t="shared" si="1"/>
        <v>-6.159690379546947E-2</v>
      </c>
    </row>
    <row r="95" spans="1:12">
      <c r="A95" s="8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  <c r="H95">
        <f>C95-D95</f>
        <v>443</v>
      </c>
      <c r="I95" t="str">
        <f>YEAR(A95) &amp; "-W" &amp; TEXT(_xlfn.ISOWEEKNUM(A95),"00")</f>
        <v>2025-W02</v>
      </c>
      <c r="J95" s="3"/>
      <c r="L95">
        <f t="shared" si="1"/>
        <v>-6.0720933666636896E-2</v>
      </c>
    </row>
    <row r="96" spans="1:12">
      <c r="A96" s="8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  <c r="H96">
        <f>C96-D96</f>
        <v>1283</v>
      </c>
      <c r="I96" t="str">
        <f>YEAR(A96) &amp; "-W" &amp; TEXT(_xlfn.ISOWEEKNUM(A96),"00")</f>
        <v>2025-W02</v>
      </c>
      <c r="J96" s="3"/>
      <c r="L96">
        <f t="shared" si="1"/>
        <v>-7.0841958776946046E-2</v>
      </c>
    </row>
    <row r="97" spans="1:12">
      <c r="A97" s="8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  <c r="H97">
        <f>C97-D97</f>
        <v>725</v>
      </c>
      <c r="I97" t="str">
        <f>YEAR(A97) &amp; "-W" &amp; TEXT(_xlfn.ISOWEEKNUM(A97),"00")</f>
        <v>2025-W02</v>
      </c>
      <c r="J97" s="3"/>
      <c r="L97">
        <f t="shared" si="1"/>
        <v>-6.2728782799201008E-2</v>
      </c>
    </row>
    <row r="98" spans="1:12">
      <c r="A98" s="8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  <c r="H98">
        <f>C98-D98</f>
        <v>467</v>
      </c>
      <c r="I98" t="str">
        <f>YEAR(A98) &amp; "-W" &amp; TEXT(_xlfn.ISOWEEKNUM(A98),"00")</f>
        <v>2025-W03</v>
      </c>
      <c r="J98" s="3"/>
      <c r="L98">
        <f t="shared" si="1"/>
        <v>-6.3210899322486316E-2</v>
      </c>
    </row>
    <row r="99" spans="1:12">
      <c r="A99" s="8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  <c r="H99">
        <f>C99-D99</f>
        <v>1354</v>
      </c>
      <c r="I99" t="str">
        <f>YEAR(A99) &amp; "-W" &amp; TEXT(_xlfn.ISOWEEKNUM(A99),"00")</f>
        <v>2025-W03</v>
      </c>
      <c r="J99" s="3"/>
      <c r="L99">
        <f t="shared" si="1"/>
        <v>-6.5049577689522187E-2</v>
      </c>
    </row>
    <row r="100" spans="1:12">
      <c r="A100" s="8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  <c r="H100">
        <f>C100-D100</f>
        <v>520</v>
      </c>
      <c r="I100" t="str">
        <f>YEAR(A100) &amp; "-W" &amp; TEXT(_xlfn.ISOWEEKNUM(A100),"00")</f>
        <v>2025-W03</v>
      </c>
      <c r="J100" s="3"/>
      <c r="L100">
        <f t="shared" si="1"/>
        <v>-4.1375556414372516E-2</v>
      </c>
    </row>
    <row r="101" spans="1:12">
      <c r="A101" s="8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  <c r="H101">
        <f>C101-D101</f>
        <v>442</v>
      </c>
      <c r="I101" t="str">
        <f>YEAR(A101) &amp; "-W" &amp; TEXT(_xlfn.ISOWEEKNUM(A101),"00")</f>
        <v>2025-W04</v>
      </c>
      <c r="J101" s="3"/>
      <c r="L101">
        <f t="shared" si="1"/>
        <v>-5.3529864639801569E-2</v>
      </c>
    </row>
    <row r="102" spans="1:12">
      <c r="A102" s="8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  <c r="H102">
        <f>C102-D102</f>
        <v>546</v>
      </c>
      <c r="I102" t="str">
        <f>YEAR(A102) &amp; "-W" &amp; TEXT(_xlfn.ISOWEEKNUM(A102),"00")</f>
        <v>2025-W04</v>
      </c>
      <c r="J102" s="3"/>
      <c r="L102">
        <f t="shared" si="1"/>
        <v>-3.9798487291541645E-2</v>
      </c>
    </row>
    <row r="103" spans="1:12">
      <c r="A103" s="8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  <c r="H103">
        <f>C103-D103</f>
        <v>844</v>
      </c>
      <c r="I103" t="str">
        <f>YEAR(A103) &amp; "-W" &amp; TEXT(_xlfn.ISOWEEKNUM(A103),"00")</f>
        <v>2025-W04</v>
      </c>
      <c r="J103" s="3"/>
      <c r="L103">
        <f t="shared" si="1"/>
        <v>-5.1413702413127871E-2</v>
      </c>
    </row>
    <row r="104" spans="1:12">
      <c r="A104" s="8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  <c r="H104">
        <f>C104-D104</f>
        <v>341</v>
      </c>
      <c r="I104" t="str">
        <f>YEAR(A104) &amp; "-W" &amp; TEXT(_xlfn.ISOWEEKNUM(A104),"00")</f>
        <v>2025-W05</v>
      </c>
      <c r="J104" s="3"/>
      <c r="L104">
        <f t="shared" si="1"/>
        <v>-4.9684490439900426E-2</v>
      </c>
    </row>
    <row r="105" spans="1:12">
      <c r="A105" s="8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  <c r="H105">
        <f>C105-D105</f>
        <v>869</v>
      </c>
      <c r="I105" t="str">
        <f>YEAR(A105) &amp; "-W" &amp; TEXT(_xlfn.ISOWEEKNUM(A105),"00")</f>
        <v>2025-W05</v>
      </c>
      <c r="J105" s="3"/>
      <c r="L105">
        <f t="shared" si="1"/>
        <v>-6.4616091116587879E-2</v>
      </c>
    </row>
    <row r="106" spans="1:12">
      <c r="A106" s="8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  <c r="H106">
        <f>C106-D106</f>
        <v>718</v>
      </c>
      <c r="I106" t="str">
        <f>YEAR(A106) &amp; "-W" &amp; TEXT(_xlfn.ISOWEEKNUM(A106),"00")</f>
        <v>2025-W05</v>
      </c>
      <c r="J106" s="3"/>
      <c r="L106">
        <f t="shared" si="1"/>
        <v>-6.0019815822835068E-2</v>
      </c>
    </row>
    <row r="107" spans="1:12">
      <c r="A107" s="8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  <c r="H107">
        <f>C107-D107</f>
        <v>735</v>
      </c>
      <c r="I107" t="str">
        <f>YEAR(A107) &amp; "-W" &amp; TEXT(_xlfn.ISOWEEKNUM(A107),"00")</f>
        <v>2025-W06</v>
      </c>
      <c r="J107" s="3"/>
      <c r="L107">
        <f t="shared" si="1"/>
        <v>-5.867994685192119E-2</v>
      </c>
    </row>
    <row r="108" spans="1:12">
      <c r="A108" s="8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  <c r="H108">
        <f>C108-D108</f>
        <v>523</v>
      </c>
      <c r="I108" t="str">
        <f>YEAR(A108) &amp; "-W" &amp; TEXT(_xlfn.ISOWEEKNUM(A108),"00")</f>
        <v>2025-W06</v>
      </c>
      <c r="J108" s="3"/>
      <c r="L108">
        <f t="shared" si="1"/>
        <v>-6.1069637160618653E-2</v>
      </c>
    </row>
    <row r="109" spans="1:12">
      <c r="A109" s="8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  <c r="H109">
        <f>C109-D109</f>
        <v>422</v>
      </c>
      <c r="I109" t="str">
        <f>YEAR(A109) &amp; "-W" &amp; TEXT(_xlfn.ISOWEEKNUM(A109),"00")</f>
        <v>2025-W06</v>
      </c>
      <c r="J109" s="3"/>
      <c r="L109">
        <f t="shared" si="1"/>
        <v>-5.1511041428826253E-2</v>
      </c>
    </row>
    <row r="110" spans="1:12">
      <c r="A110" s="8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  <c r="H110">
        <f>C110-D110</f>
        <v>915</v>
      </c>
      <c r="I110" t="str">
        <f>YEAR(A110) &amp; "-W" &amp; TEXT(_xlfn.ISOWEEKNUM(A110),"00")</f>
        <v>2025-W07</v>
      </c>
      <c r="J110" s="3"/>
      <c r="L110">
        <f t="shared" si="1"/>
        <v>-3.4908184989220881E-2</v>
      </c>
    </row>
    <row r="111" spans="1:12">
      <c r="A111" s="8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  <c r="H111">
        <f>C111-D111</f>
        <v>1108</v>
      </c>
      <c r="I111" t="str">
        <f>YEAR(A111) &amp; "-W" &amp; TEXT(_xlfn.ISOWEEKNUM(A111),"00")</f>
        <v>2025-W07</v>
      </c>
      <c r="J111" s="3"/>
      <c r="L111">
        <f t="shared" si="1"/>
        <v>-3.1369436553842854E-2</v>
      </c>
    </row>
    <row r="112" spans="1:12">
      <c r="A112" s="8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  <c r="H112">
        <f>C112-D112</f>
        <v>338</v>
      </c>
      <c r="I112" t="str">
        <f>YEAR(A112) &amp; "-W" &amp; TEXT(_xlfn.ISOWEEKNUM(A112),"00")</f>
        <v>2025-W07</v>
      </c>
      <c r="J112" s="3"/>
      <c r="L112">
        <f t="shared" si="1"/>
        <v>-1.3408243866293034E-2</v>
      </c>
    </row>
    <row r="113" spans="1:12">
      <c r="A113" s="8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  <c r="H113">
        <f>C113-D113</f>
        <v>724</v>
      </c>
      <c r="I113" t="str">
        <f>YEAR(A113) &amp; "-W" &amp; TEXT(_xlfn.ISOWEEKNUM(A113),"00")</f>
        <v>2025-W08</v>
      </c>
      <c r="J113" s="3"/>
      <c r="L113">
        <f t="shared" si="1"/>
        <v>-3.239744950418422E-3</v>
      </c>
    </row>
    <row r="114" spans="1:12">
      <c r="A114" s="8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  <c r="H114">
        <f>C114-D114</f>
        <v>463</v>
      </c>
      <c r="I114" t="str">
        <f>YEAR(A114) &amp; "-W" &amp; TEXT(_xlfn.ISOWEEKNUM(A114),"00")</f>
        <v>2025-W08</v>
      </c>
      <c r="J114" s="3"/>
      <c r="L114">
        <f t="shared" si="1"/>
        <v>-3.629030883053384E-3</v>
      </c>
    </row>
    <row r="115" spans="1:12">
      <c r="A115" s="8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  <c r="H115">
        <f>C115-D115</f>
        <v>356</v>
      </c>
      <c r="I115" t="str">
        <f>YEAR(A115) &amp; "-W" &amp; TEXT(_xlfn.ISOWEEKNUM(A115),"00")</f>
        <v>2025-W08</v>
      </c>
      <c r="J115" s="3"/>
      <c r="L115">
        <f t="shared" si="1"/>
        <v>6.9471166526165126E-3</v>
      </c>
    </row>
    <row r="116" spans="1:12">
      <c r="A116" s="8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  <c r="H116">
        <f>C116-D116</f>
        <v>378</v>
      </c>
      <c r="I116" t="str">
        <f>YEAR(A116) &amp; "-W" &amp; TEXT(_xlfn.ISOWEEKNUM(A116),"00")</f>
        <v>2025-W09</v>
      </c>
      <c r="J116" s="3"/>
      <c r="L116">
        <f t="shared" si="1"/>
        <v>-1.6863983315624585E-2</v>
      </c>
    </row>
    <row r="117" spans="1:12">
      <c r="A117" s="8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  <c r="H117">
        <f>C117-D117</f>
        <v>636</v>
      </c>
      <c r="I117" t="str">
        <f>YEAR(A117) &amp; "-W" &amp; TEXT(_xlfn.ISOWEEKNUM(A117),"00")</f>
        <v>2025-W09</v>
      </c>
      <c r="J117" s="3"/>
      <c r="L117">
        <f t="shared" si="1"/>
        <v>3.4383014774728962E-3</v>
      </c>
    </row>
    <row r="118" spans="1:12">
      <c r="A118" s="8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  <c r="H118">
        <f>C118-D118</f>
        <v>699</v>
      </c>
      <c r="I118" t="str">
        <f>YEAR(A118) &amp; "-W" &amp; TEXT(_xlfn.ISOWEEKNUM(A118),"00")</f>
        <v>2025-W09</v>
      </c>
      <c r="J118" s="3"/>
      <c r="L118">
        <f t="shared" si="1"/>
        <v>1.2743586823100899E-3</v>
      </c>
    </row>
    <row r="119" spans="1:12">
      <c r="A119" s="8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  <c r="H119">
        <f>C119-D119</f>
        <v>1279</v>
      </c>
      <c r="I119" t="str">
        <f>YEAR(A119) &amp; "-W" &amp; TEXT(_xlfn.ISOWEEKNUM(A119),"00")</f>
        <v>2025-W10</v>
      </c>
      <c r="J119" s="3"/>
      <c r="L119">
        <f t="shared" si="1"/>
        <v>2.6111654469495307E-3</v>
      </c>
    </row>
    <row r="120" spans="1:12">
      <c r="A120" s="8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  <c r="H120">
        <f>C120-D120</f>
        <v>1006</v>
      </c>
      <c r="I120" t="str">
        <f>YEAR(A120) &amp; "-W" &amp; TEXT(_xlfn.ISOWEEKNUM(A120),"00")</f>
        <v>2025-W10</v>
      </c>
      <c r="J120" s="3"/>
      <c r="L120">
        <f t="shared" si="1"/>
        <v>-2.404778156307592E-2</v>
      </c>
    </row>
    <row r="121" spans="1:12">
      <c r="A121" s="8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  <c r="H121">
        <f>C121-D121</f>
        <v>478</v>
      </c>
      <c r="I121" t="str">
        <f>YEAR(A121) &amp; "-W" &amp; TEXT(_xlfn.ISOWEEKNUM(A121),"00")</f>
        <v>2025-W10</v>
      </c>
      <c r="J121" s="3"/>
      <c r="L121">
        <f t="shared" si="1"/>
        <v>-1.1737894837827979E-2</v>
      </c>
    </row>
    <row r="122" spans="1:12">
      <c r="A122" s="8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  <c r="H122">
        <f>C122-D122</f>
        <v>545</v>
      </c>
      <c r="I122" t="str">
        <f>YEAR(A122) &amp; "-W" &amp; TEXT(_xlfn.ISOWEEKNUM(A122),"00")</f>
        <v>2025-W11</v>
      </c>
      <c r="J122" s="3"/>
      <c r="L122">
        <f t="shared" si="1"/>
        <v>9.1692427400915565E-5</v>
      </c>
    </row>
    <row r="123" spans="1:12">
      <c r="A123" s="8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  <c r="H123">
        <f>C123-D123</f>
        <v>1005</v>
      </c>
      <c r="I123" t="str">
        <f>YEAR(A123) &amp; "-W" &amp; TEXT(_xlfn.ISOWEEKNUM(A123),"00")</f>
        <v>2025-W11</v>
      </c>
      <c r="J123" s="3"/>
      <c r="L123">
        <f t="shared" si="1"/>
        <v>-6.4942495102802197E-3</v>
      </c>
    </row>
    <row r="124" spans="1:12">
      <c r="A124" s="8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  <c r="H124">
        <f>C124-D124</f>
        <v>765</v>
      </c>
      <c r="I124" t="str">
        <f>YEAR(A124) &amp; "-W" &amp; TEXT(_xlfn.ISOWEEKNUM(A124),"00")</f>
        <v>2025-W11</v>
      </c>
      <c r="J124" s="3"/>
      <c r="L124">
        <f t="shared" si="1"/>
        <v>-1.4272973500005474E-2</v>
      </c>
    </row>
    <row r="125" spans="1:12">
      <c r="A125" s="8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  <c r="H125">
        <f>C125-D125</f>
        <v>564</v>
      </c>
      <c r="I125" t="str">
        <f>YEAR(A125) &amp; "-W" &amp; TEXT(_xlfn.ISOWEEKNUM(A125),"00")</f>
        <v>2025-W12</v>
      </c>
      <c r="J125" s="3"/>
      <c r="L125">
        <f t="shared" si="1"/>
        <v>-1.297575068124817E-2</v>
      </c>
    </row>
    <row r="126" spans="1:12">
      <c r="A126" s="8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  <c r="H126">
        <f>C126-D126</f>
        <v>496</v>
      </c>
      <c r="I126" t="str">
        <f>YEAR(A126) &amp; "-W" &amp; TEXT(_xlfn.ISOWEEKNUM(A126),"00")</f>
        <v>2025-W12</v>
      </c>
      <c r="J126" s="3"/>
      <c r="L126">
        <f t="shared" si="1"/>
        <v>-2.6393492816645377E-2</v>
      </c>
    </row>
    <row r="127" spans="1:12">
      <c r="A127" s="8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  <c r="H127">
        <f>C127-D127</f>
        <v>1128</v>
      </c>
      <c r="I127" t="str">
        <f>YEAR(A127) &amp; "-W" &amp; TEXT(_xlfn.ISOWEEKNUM(A127),"00")</f>
        <v>2025-W12</v>
      </c>
      <c r="J127" s="3"/>
      <c r="L127">
        <f t="shared" si="1"/>
        <v>-1.8087943317723423E-2</v>
      </c>
    </row>
    <row r="128" spans="1:12">
      <c r="A128" s="8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  <c r="H128">
        <f>C128-D128</f>
        <v>565</v>
      </c>
      <c r="I128" t="str">
        <f>YEAR(A128) &amp; "-W" &amp; TEXT(_xlfn.ISOWEEKNUM(A128),"00")</f>
        <v>2025-W13</v>
      </c>
      <c r="J128" s="3"/>
      <c r="L128">
        <f t="shared" si="1"/>
        <v>-1.8546887624351217E-3</v>
      </c>
    </row>
    <row r="129" spans="1:12">
      <c r="A129" s="8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  <c r="H129">
        <f>C129-D129</f>
        <v>813</v>
      </c>
      <c r="I129" t="str">
        <f>YEAR(A129) &amp; "-W" &amp; TEXT(_xlfn.ISOWEEKNUM(A129),"00")</f>
        <v>2025-W13</v>
      </c>
      <c r="J129" s="3"/>
      <c r="L129">
        <f t="shared" si="1"/>
        <v>-1.0832925591193159E-2</v>
      </c>
    </row>
    <row r="130" spans="1:12">
      <c r="A130" s="8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  <c r="H130">
        <f>C130-D130</f>
        <v>1301</v>
      </c>
      <c r="I130" t="str">
        <f>YEAR(A130) &amp; "-W" &amp; TEXT(_xlfn.ISOWEEKNUM(A130),"00")</f>
        <v>2025-W13</v>
      </c>
      <c r="J130" s="3"/>
      <c r="L130">
        <f t="shared" si="1"/>
        <v>-1.2296645073862333E-2</v>
      </c>
    </row>
    <row r="131" spans="1:12">
      <c r="A131" s="8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  <c r="H131">
        <f>C131-D131</f>
        <v>436</v>
      </c>
      <c r="I131" t="str">
        <f>YEAR(A131) &amp; "-W" &amp; TEXT(_xlfn.ISOWEEKNUM(A131),"00")</f>
        <v>2025-W14</v>
      </c>
      <c r="J131" s="3"/>
      <c r="L131">
        <f t="shared" ref="L131:L194" si="2">CORREL(G131:G331, H131:H331)</f>
        <v>1.6816326858817843E-2</v>
      </c>
    </row>
    <row r="132" spans="1:12">
      <c r="A132" s="8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  <c r="H132">
        <f>C132-D132</f>
        <v>978</v>
      </c>
      <c r="I132" t="str">
        <f>YEAR(A132) &amp; "-W" &amp; TEXT(_xlfn.ISOWEEKNUM(A132),"00")</f>
        <v>2025-W14</v>
      </c>
      <c r="J132" s="3"/>
      <c r="L132">
        <f t="shared" si="2"/>
        <v>2.4178303898118821E-2</v>
      </c>
    </row>
    <row r="133" spans="1:12">
      <c r="A133" s="8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  <c r="H133">
        <f>C133-D133</f>
        <v>1367</v>
      </c>
      <c r="I133" t="str">
        <f>YEAR(A133) &amp; "-W" &amp; TEXT(_xlfn.ISOWEEKNUM(A133),"00")</f>
        <v>2025-W14</v>
      </c>
      <c r="J133" s="3"/>
      <c r="L133">
        <f t="shared" si="2"/>
        <v>2.7561861649213537E-2</v>
      </c>
    </row>
    <row r="134" spans="1:12">
      <c r="A134" s="8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  <c r="H134">
        <f>C134-D134</f>
        <v>1337</v>
      </c>
      <c r="I134" t="str">
        <f>YEAR(A134) &amp; "-W" &amp; TEXT(_xlfn.ISOWEEKNUM(A134),"00")</f>
        <v>2025-W15</v>
      </c>
      <c r="J134" s="3"/>
      <c r="L134">
        <f t="shared" si="2"/>
        <v>1.8784323624705473E-2</v>
      </c>
    </row>
    <row r="135" spans="1:12">
      <c r="A135" s="8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  <c r="H135">
        <f>C135-D135</f>
        <v>1014</v>
      </c>
      <c r="I135" t="str">
        <f>YEAR(A135) &amp; "-W" &amp; TEXT(_xlfn.ISOWEEKNUM(A135),"00")</f>
        <v>2025-W15</v>
      </c>
      <c r="J135" s="3"/>
      <c r="L135">
        <f t="shared" si="2"/>
        <v>4.5436081840306911E-2</v>
      </c>
    </row>
    <row r="136" spans="1:12">
      <c r="A136" s="8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  <c r="H136">
        <f>C136-D136</f>
        <v>940</v>
      </c>
      <c r="I136" t="str">
        <f>YEAR(A136) &amp; "-W" &amp; TEXT(_xlfn.ISOWEEKNUM(A136),"00")</f>
        <v>2025-W15</v>
      </c>
      <c r="J136" s="3"/>
      <c r="L136">
        <f t="shared" si="2"/>
        <v>3.5642288389768004E-2</v>
      </c>
    </row>
    <row r="137" spans="1:12">
      <c r="A137" s="8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  <c r="H137">
        <f>C137-D137</f>
        <v>690</v>
      </c>
      <c r="I137" t="str">
        <f>YEAR(A137) &amp; "-W" &amp; TEXT(_xlfn.ISOWEEKNUM(A137),"00")</f>
        <v>2025-W16</v>
      </c>
      <c r="J137" s="3"/>
      <c r="L137">
        <f t="shared" si="2"/>
        <v>2.7965110665846504E-2</v>
      </c>
    </row>
    <row r="138" spans="1:12">
      <c r="A138" s="8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  <c r="H138">
        <f>C138-D138</f>
        <v>1335</v>
      </c>
      <c r="I138" t="str">
        <f>YEAR(A138) &amp; "-W" &amp; TEXT(_xlfn.ISOWEEKNUM(A138),"00")</f>
        <v>2025-W16</v>
      </c>
      <c r="J138" s="3"/>
      <c r="L138">
        <f t="shared" si="2"/>
        <v>3.5951034109048159E-2</v>
      </c>
    </row>
    <row r="139" spans="1:12">
      <c r="A139" s="8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  <c r="H139">
        <f>C139-D139</f>
        <v>1191</v>
      </c>
      <c r="I139" t="str">
        <f>YEAR(A139) &amp; "-W" &amp; TEXT(_xlfn.ISOWEEKNUM(A139),"00")</f>
        <v>2025-W16</v>
      </c>
      <c r="J139" s="3"/>
      <c r="L139">
        <f t="shared" si="2"/>
        <v>3.1015543112670741E-4</v>
      </c>
    </row>
    <row r="140" spans="1:12">
      <c r="A140" s="8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  <c r="H140">
        <f>C140-D140</f>
        <v>353</v>
      </c>
      <c r="I140" t="str">
        <f>YEAR(A140) &amp; "-W" &amp; TEXT(_xlfn.ISOWEEKNUM(A140),"00")</f>
        <v>2025-W17</v>
      </c>
      <c r="J140" s="3"/>
      <c r="L140">
        <f t="shared" si="2"/>
        <v>-4.352242722241189E-2</v>
      </c>
    </row>
    <row r="141" spans="1:12">
      <c r="A141" s="8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  <c r="H141">
        <f>C141-D141</f>
        <v>486</v>
      </c>
      <c r="I141" t="str">
        <f>YEAR(A141) &amp; "-W" &amp; TEXT(_xlfn.ISOWEEKNUM(A141),"00")</f>
        <v>2025-W17</v>
      </c>
      <c r="J141" s="3"/>
      <c r="L141">
        <f t="shared" si="2"/>
        <v>-6.3326719793347266E-2</v>
      </c>
    </row>
    <row r="142" spans="1:12">
      <c r="A142" s="8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  <c r="H142">
        <f>C142-D142</f>
        <v>889</v>
      </c>
      <c r="I142" t="str">
        <f>YEAR(A142) &amp; "-W" &amp; TEXT(_xlfn.ISOWEEKNUM(A142),"00")</f>
        <v>2025-W17</v>
      </c>
      <c r="J142" s="3"/>
      <c r="L142">
        <f t="shared" si="2"/>
        <v>-4.1026823715510592E-2</v>
      </c>
    </row>
    <row r="143" spans="1:12">
      <c r="A143" s="8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  <c r="H143">
        <f>C143-D143</f>
        <v>983</v>
      </c>
      <c r="I143" t="str">
        <f>YEAR(A143) &amp; "-W" &amp; TEXT(_xlfn.ISOWEEKNUM(A143),"00")</f>
        <v>2025-W18</v>
      </c>
      <c r="J143" s="3"/>
      <c r="L143">
        <f t="shared" si="2"/>
        <v>-5.2810926188126509E-2</v>
      </c>
    </row>
    <row r="144" spans="1:12">
      <c r="A144" s="8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  <c r="H144">
        <f>C144-D144</f>
        <v>581</v>
      </c>
      <c r="I144" t="str">
        <f>YEAR(A144) &amp; "-W" &amp; TEXT(_xlfn.ISOWEEKNUM(A144),"00")</f>
        <v>2025-W18</v>
      </c>
      <c r="J144" s="3"/>
      <c r="L144">
        <f t="shared" si="2"/>
        <v>-4.5910311552877878E-2</v>
      </c>
    </row>
    <row r="145" spans="1:12">
      <c r="A145" s="8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  <c r="H145">
        <f>C145-D145</f>
        <v>814</v>
      </c>
      <c r="I145" t="str">
        <f>YEAR(A145) &amp; "-W" &amp; TEXT(_xlfn.ISOWEEKNUM(A145),"00")</f>
        <v>2025-W18</v>
      </c>
      <c r="J145" s="3"/>
      <c r="L145">
        <f t="shared" si="2"/>
        <v>-5.3759421369724801E-2</v>
      </c>
    </row>
    <row r="146" spans="1:12">
      <c r="A146" s="8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  <c r="H146">
        <f>C146-D146</f>
        <v>919</v>
      </c>
      <c r="I146" t="str">
        <f>YEAR(A146) &amp; "-W" &amp; TEXT(_xlfn.ISOWEEKNUM(A146),"00")</f>
        <v>2025-W19</v>
      </c>
      <c r="J146" s="3"/>
      <c r="L146">
        <f t="shared" si="2"/>
        <v>-6.0916948097026954E-2</v>
      </c>
    </row>
    <row r="147" spans="1:12">
      <c r="A147" s="8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  <c r="H147">
        <f>C147-D147</f>
        <v>676</v>
      </c>
      <c r="I147" t="str">
        <f>YEAR(A147) &amp; "-W" &amp; TEXT(_xlfn.ISOWEEKNUM(A147),"00")</f>
        <v>2025-W19</v>
      </c>
      <c r="J147" s="3"/>
      <c r="L147">
        <f t="shared" si="2"/>
        <v>-4.6767682779886854E-2</v>
      </c>
    </row>
    <row r="148" spans="1:12">
      <c r="A148" s="8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  <c r="H148">
        <f>C148-D148</f>
        <v>459</v>
      </c>
      <c r="I148" t="str">
        <f>YEAR(A148) &amp; "-W" &amp; TEXT(_xlfn.ISOWEEKNUM(A148),"00")</f>
        <v>2025-W19</v>
      </c>
      <c r="J148" s="3"/>
      <c r="L148">
        <f t="shared" si="2"/>
        <v>-4.6682699221485477E-2</v>
      </c>
    </row>
    <row r="149" spans="1:12">
      <c r="A149" s="8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  <c r="H149">
        <f>C149-D149</f>
        <v>576</v>
      </c>
      <c r="I149" t="str">
        <f>YEAR(A149) &amp; "-W" &amp; TEXT(_xlfn.ISOWEEKNUM(A149),"00")</f>
        <v>2025-W20</v>
      </c>
      <c r="J149" s="3"/>
      <c r="L149">
        <f t="shared" si="2"/>
        <v>-5.2483023575360478E-2</v>
      </c>
    </row>
    <row r="150" spans="1:12">
      <c r="A150" s="8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  <c r="H150">
        <f>C150-D150</f>
        <v>447</v>
      </c>
      <c r="I150" t="str">
        <f>YEAR(A150) &amp; "-W" &amp; TEXT(_xlfn.ISOWEEKNUM(A150),"00")</f>
        <v>2025-W20</v>
      </c>
      <c r="J150" s="3"/>
      <c r="L150">
        <f t="shared" si="2"/>
        <v>-3.3343386534860825E-2</v>
      </c>
    </row>
    <row r="151" spans="1:12">
      <c r="A151" s="8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  <c r="H151">
        <f>C151-D151</f>
        <v>377</v>
      </c>
      <c r="I151" t="str">
        <f>YEAR(A151) &amp; "-W" &amp; TEXT(_xlfn.ISOWEEKNUM(A151),"00")</f>
        <v>2025-W20</v>
      </c>
      <c r="J151" s="3"/>
      <c r="L151">
        <f t="shared" si="2"/>
        <v>-4.2555993321300251E-2</v>
      </c>
    </row>
    <row r="152" spans="1:12">
      <c r="A152" s="8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  <c r="H152">
        <f>C152-D152</f>
        <v>932</v>
      </c>
      <c r="I152" t="str">
        <f>YEAR(A152) &amp; "-W" &amp; TEXT(_xlfn.ISOWEEKNUM(A152),"00")</f>
        <v>2025-W21</v>
      </c>
      <c r="J152" s="3"/>
      <c r="L152">
        <f t="shared" si="2"/>
        <v>-2.7809416616302735E-2</v>
      </c>
    </row>
    <row r="153" spans="1:12">
      <c r="A153" s="8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  <c r="H153">
        <f>C153-D153</f>
        <v>1356</v>
      </c>
      <c r="I153" t="str">
        <f>YEAR(A153) &amp; "-W" &amp; TEXT(_xlfn.ISOWEEKNUM(A153),"00")</f>
        <v>2025-W21</v>
      </c>
      <c r="J153" s="3"/>
      <c r="L153">
        <f t="shared" si="2"/>
        <v>-2.5808697439467062E-2</v>
      </c>
    </row>
    <row r="154" spans="1:12">
      <c r="A154" s="8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  <c r="H154">
        <f>C154-D154</f>
        <v>1281</v>
      </c>
      <c r="I154" t="str">
        <f>YEAR(A154) &amp; "-W" &amp; TEXT(_xlfn.ISOWEEKNUM(A154),"00")</f>
        <v>2025-W21</v>
      </c>
      <c r="J154" s="3"/>
      <c r="L154">
        <f t="shared" si="2"/>
        <v>-0.11327947231391355</v>
      </c>
    </row>
    <row r="155" spans="1:12">
      <c r="A155" s="8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  <c r="H155">
        <f>C155-D155</f>
        <v>1041</v>
      </c>
      <c r="I155" t="str">
        <f>YEAR(A155) &amp; "-W" &amp; TEXT(_xlfn.ISOWEEKNUM(A155),"00")</f>
        <v>2025-W22</v>
      </c>
      <c r="J155" s="3"/>
      <c r="L155">
        <f t="shared" si="2"/>
        <v>-7.2523458531293453E-2</v>
      </c>
    </row>
    <row r="156" spans="1:12">
      <c r="A156" s="8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  <c r="H156">
        <f>C156-D156</f>
        <v>1184</v>
      </c>
      <c r="I156" t="str">
        <f>YEAR(A156) &amp; "-W" &amp; TEXT(_xlfn.ISOWEEKNUM(A156),"00")</f>
        <v>2025-W22</v>
      </c>
      <c r="J156" s="3"/>
      <c r="L156">
        <f t="shared" si="2"/>
        <v>-7.5197618433073182E-2</v>
      </c>
    </row>
    <row r="157" spans="1:12">
      <c r="A157" s="8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  <c r="H157">
        <f>C157-D157</f>
        <v>684</v>
      </c>
      <c r="I157" t="str">
        <f>YEAR(A157) &amp; "-W" &amp; TEXT(_xlfn.ISOWEEKNUM(A157),"00")</f>
        <v>2025-W22</v>
      </c>
      <c r="J157" s="3"/>
      <c r="L157">
        <f t="shared" si="2"/>
        <v>-0.10818621109194457</v>
      </c>
    </row>
    <row r="158" spans="1:12">
      <c r="A158" s="8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  <c r="H158">
        <f>C158-D158</f>
        <v>354</v>
      </c>
      <c r="I158" t="str">
        <f>YEAR(A158) &amp; "-W" &amp; TEXT(_xlfn.ISOWEEKNUM(A158),"00")</f>
        <v>2025-W23</v>
      </c>
      <c r="J158" s="3"/>
      <c r="L158">
        <f t="shared" si="2"/>
        <v>-0.11082033068115772</v>
      </c>
    </row>
    <row r="159" spans="1:12">
      <c r="A159" s="8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  <c r="H159">
        <f>C159-D159</f>
        <v>1126</v>
      </c>
      <c r="I159" t="str">
        <f>YEAR(A159) &amp; "-W" &amp; TEXT(_xlfn.ISOWEEKNUM(A159),"00")</f>
        <v>2025-W23</v>
      </c>
      <c r="J159" s="3"/>
      <c r="L159">
        <f t="shared" si="2"/>
        <v>-0.11340308215151296</v>
      </c>
    </row>
    <row r="160" spans="1:12">
      <c r="A160" s="8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  <c r="H160">
        <f>C160-D160</f>
        <v>569</v>
      </c>
      <c r="I160" t="str">
        <f>YEAR(A160) &amp; "-W" &amp; TEXT(_xlfn.ISOWEEKNUM(A160),"00")</f>
        <v>2025-W23</v>
      </c>
      <c r="J160" s="3"/>
      <c r="L160">
        <f t="shared" si="2"/>
        <v>-9.8872835807302717E-2</v>
      </c>
    </row>
    <row r="161" spans="1:12">
      <c r="A161" s="8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  <c r="H161">
        <f>C161-D161</f>
        <v>730</v>
      </c>
      <c r="I161" t="str">
        <f>YEAR(A161) &amp; "-W" &amp; TEXT(_xlfn.ISOWEEKNUM(A161),"00")</f>
        <v>2025-W24</v>
      </c>
      <c r="J161" s="3"/>
      <c r="L161">
        <f t="shared" si="2"/>
        <v>-0.10596616986090449</v>
      </c>
    </row>
    <row r="162" spans="1:12">
      <c r="A162" s="8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  <c r="H162">
        <f>C162-D162</f>
        <v>578</v>
      </c>
      <c r="I162" t="str">
        <f>YEAR(A162) &amp; "-W" &amp; TEXT(_xlfn.ISOWEEKNUM(A162),"00")</f>
        <v>2025-W24</v>
      </c>
      <c r="J162" s="3"/>
      <c r="L162">
        <f t="shared" si="2"/>
        <v>-0.10665511429150706</v>
      </c>
    </row>
    <row r="163" spans="1:12">
      <c r="A163" s="8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  <c r="H163">
        <f>C163-D163</f>
        <v>935</v>
      </c>
      <c r="I163" t="str">
        <f>YEAR(A163) &amp; "-W" &amp; TEXT(_xlfn.ISOWEEKNUM(A163),"00")</f>
        <v>2025-W24</v>
      </c>
      <c r="J163" s="3"/>
      <c r="L163">
        <f t="shared" si="2"/>
        <v>-0.1130436021881574</v>
      </c>
    </row>
    <row r="164" spans="1:12">
      <c r="A164" s="8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  <c r="H164">
        <f>C164-D164</f>
        <v>698</v>
      </c>
      <c r="I164" t="str">
        <f>YEAR(A164) &amp; "-W" &amp; TEXT(_xlfn.ISOWEEKNUM(A164),"00")</f>
        <v>2025-W25</v>
      </c>
      <c r="J164" s="3"/>
      <c r="L164">
        <f t="shared" si="2"/>
        <v>-0.11129389587580749</v>
      </c>
    </row>
    <row r="165" spans="1:12">
      <c r="A165" s="8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  <c r="H165">
        <f>C165-D165</f>
        <v>325</v>
      </c>
      <c r="I165" t="str">
        <f>YEAR(A165) &amp; "-W" &amp; TEXT(_xlfn.ISOWEEKNUM(A165),"00")</f>
        <v>2025-W25</v>
      </c>
      <c r="J165" s="3"/>
      <c r="L165">
        <f t="shared" si="2"/>
        <v>-0.11825444346445316</v>
      </c>
    </row>
    <row r="166" spans="1:12">
      <c r="A166" s="8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  <c r="H166">
        <f>C166-D166</f>
        <v>994</v>
      </c>
      <c r="I166" t="str">
        <f>YEAR(A166) &amp; "-W" &amp; TEXT(_xlfn.ISOWEEKNUM(A166),"00")</f>
        <v>2025-W25</v>
      </c>
      <c r="J166" s="3"/>
      <c r="L166">
        <f t="shared" si="2"/>
        <v>-0.15423153132328449</v>
      </c>
    </row>
    <row r="167" spans="1:12">
      <c r="A167" s="8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  <c r="H167">
        <f>C167-D167</f>
        <v>320</v>
      </c>
      <c r="I167" t="str">
        <f>YEAR(A167) &amp; "-W" &amp; TEXT(_xlfn.ISOWEEKNUM(A167),"00")</f>
        <v>2025-W26</v>
      </c>
      <c r="J167" s="3"/>
      <c r="L167">
        <f t="shared" si="2"/>
        <v>-0.17187807230250923</v>
      </c>
    </row>
    <row r="168" spans="1:12">
      <c r="A168" s="8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  <c r="H168">
        <f>C168-D168</f>
        <v>544</v>
      </c>
      <c r="I168" t="str">
        <f>YEAR(A168) &amp; "-W" &amp; TEXT(_xlfn.ISOWEEKNUM(A168),"00")</f>
        <v>2025-W26</v>
      </c>
      <c r="J168" s="3"/>
      <c r="L168">
        <f t="shared" si="2"/>
        <v>-0.11215238622849624</v>
      </c>
    </row>
    <row r="169" spans="1:12">
      <c r="A169" s="8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  <c r="H169">
        <f>C169-D169</f>
        <v>520</v>
      </c>
      <c r="I169" t="str">
        <f>YEAR(A169) &amp; "-W" &amp; TEXT(_xlfn.ISOWEEKNUM(A169),"00")</f>
        <v>2025-W26</v>
      </c>
      <c r="J169" s="3"/>
      <c r="L169">
        <f t="shared" si="2"/>
        <v>-7.6038130999224629E-2</v>
      </c>
    </row>
    <row r="170" spans="1:12">
      <c r="A170" s="8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  <c r="H170">
        <f>C170-D170</f>
        <v>485</v>
      </c>
      <c r="I170" t="str">
        <f>YEAR(A170) &amp; "-W" &amp; TEXT(_xlfn.ISOWEEKNUM(A170),"00")</f>
        <v>2025-W27</v>
      </c>
      <c r="J170" s="3"/>
      <c r="L170">
        <f t="shared" si="2"/>
        <v>-9.7260557204663811E-2</v>
      </c>
    </row>
    <row r="171" spans="1:12">
      <c r="A171" s="8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  <c r="H171">
        <f>C171-D171</f>
        <v>1234</v>
      </c>
      <c r="I171" t="str">
        <f>YEAR(A171) &amp; "-W" &amp; TEXT(_xlfn.ISOWEEKNUM(A171),"00")</f>
        <v>2025-W27</v>
      </c>
      <c r="J171" s="3"/>
      <c r="L171">
        <f t="shared" si="2"/>
        <v>-3.6247155717731308E-2</v>
      </c>
    </row>
    <row r="172" spans="1:12">
      <c r="A172" s="8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  <c r="H172">
        <f>C172-D172</f>
        <v>596</v>
      </c>
      <c r="I172" t="str">
        <f>YEAR(A172) &amp; "-W" &amp; TEXT(_xlfn.ISOWEEKNUM(A172),"00")</f>
        <v>2025-W27</v>
      </c>
      <c r="J172" s="3"/>
      <c r="L172">
        <f t="shared" si="2"/>
        <v>-3.5039095214915675E-2</v>
      </c>
    </row>
    <row r="173" spans="1:12">
      <c r="A173" s="8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  <c r="H173">
        <f>C173-D173</f>
        <v>831</v>
      </c>
      <c r="I173" t="str">
        <f>YEAR(A173) &amp; "-W" &amp; TEXT(_xlfn.ISOWEEKNUM(A173),"00")</f>
        <v>2025-W28</v>
      </c>
      <c r="J173" s="3"/>
      <c r="L173">
        <f t="shared" si="2"/>
        <v>-3.1264303395308481E-2</v>
      </c>
    </row>
    <row r="174" spans="1:12">
      <c r="A174" s="8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  <c r="H174">
        <f>C174-D174</f>
        <v>1033</v>
      </c>
      <c r="I174" t="str">
        <f>YEAR(A174) &amp; "-W" &amp; TEXT(_xlfn.ISOWEEKNUM(A174),"00")</f>
        <v>2025-W28</v>
      </c>
      <c r="J174" s="3"/>
      <c r="L174">
        <f t="shared" si="2"/>
        <v>-2.9298722451234202E-2</v>
      </c>
    </row>
    <row r="175" spans="1:12">
      <c r="A175" s="8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  <c r="H175">
        <f>C175-D175</f>
        <v>805</v>
      </c>
      <c r="I175" t="str">
        <f>YEAR(A175) &amp; "-W" &amp; TEXT(_xlfn.ISOWEEKNUM(A175),"00")</f>
        <v>2025-W28</v>
      </c>
      <c r="J175" s="3"/>
      <c r="L175">
        <f t="shared" si="2"/>
        <v>-1.5946860839301823E-2</v>
      </c>
    </row>
    <row r="176" spans="1:12">
      <c r="A176" s="8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  <c r="H176">
        <f>C176-D176</f>
        <v>1274</v>
      </c>
      <c r="I176" t="str">
        <f>YEAR(A176) &amp; "-W" &amp; TEXT(_xlfn.ISOWEEKNUM(A176),"00")</f>
        <v>2025-W29</v>
      </c>
      <c r="J176" s="3"/>
      <c r="L176">
        <f t="shared" si="2"/>
        <v>-1.0512729114623072E-2</v>
      </c>
    </row>
    <row r="177" spans="1:12">
      <c r="A177" s="8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  <c r="H177">
        <f>C177-D177</f>
        <v>428</v>
      </c>
      <c r="I177" t="str">
        <f>YEAR(A177) &amp; "-W" &amp; TEXT(_xlfn.ISOWEEKNUM(A177),"00")</f>
        <v>2025-W29</v>
      </c>
      <c r="J177" s="3"/>
      <c r="L177">
        <f t="shared" si="2"/>
        <v>1.426050477468381E-2</v>
      </c>
    </row>
    <row r="178" spans="1:12">
      <c r="A178" s="8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  <c r="H178">
        <f>C178-D178</f>
        <v>952</v>
      </c>
      <c r="I178" t="str">
        <f>YEAR(A178) &amp; "-W" &amp; TEXT(_xlfn.ISOWEEKNUM(A178),"00")</f>
        <v>2025-W29</v>
      </c>
      <c r="J178" s="3"/>
      <c r="L178">
        <f t="shared" si="2"/>
        <v>2.2574808473274699E-2</v>
      </c>
    </row>
    <row r="179" spans="1:12">
      <c r="A179" s="8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  <c r="H179">
        <f>C179-D179</f>
        <v>951</v>
      </c>
      <c r="I179" t="str">
        <f>YEAR(A179) &amp; "-W" &amp; TEXT(_xlfn.ISOWEEKNUM(A179),"00")</f>
        <v>2025-W30</v>
      </c>
      <c r="J179" s="3"/>
      <c r="L179">
        <f t="shared" si="2"/>
        <v>4.017923162774005E-2</v>
      </c>
    </row>
    <row r="180" spans="1:12">
      <c r="A180" s="8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  <c r="H180">
        <f>C180-D180</f>
        <v>604</v>
      </c>
      <c r="I180" t="str">
        <f>YEAR(A180) &amp; "-W" &amp; TEXT(_xlfn.ISOWEEKNUM(A180),"00")</f>
        <v>2025-W30</v>
      </c>
      <c r="J180" s="3"/>
      <c r="L180">
        <f t="shared" si="2"/>
        <v>5.5626058778846299E-2</v>
      </c>
    </row>
    <row r="181" spans="1:12">
      <c r="A181" s="8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  <c r="H181">
        <f>C181-D181</f>
        <v>1139</v>
      </c>
      <c r="I181" t="str">
        <f>YEAR(A181) &amp; "-W" &amp; TEXT(_xlfn.ISOWEEKNUM(A181),"00")</f>
        <v>2025-W30</v>
      </c>
      <c r="J181" s="3"/>
      <c r="L181">
        <f t="shared" si="2"/>
        <v>4.3986949520252054E-2</v>
      </c>
    </row>
    <row r="182" spans="1:12">
      <c r="A182" s="8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  <c r="H182">
        <f>C182-D182</f>
        <v>567</v>
      </c>
      <c r="I182" t="str">
        <f>YEAR(A182) &amp; "-W" &amp; TEXT(_xlfn.ISOWEEKNUM(A182),"00")</f>
        <v>2025-W31</v>
      </c>
      <c r="J182" s="3"/>
      <c r="L182">
        <f t="shared" si="2"/>
        <v>-8.0809811767453374E-2</v>
      </c>
    </row>
    <row r="183" spans="1:12">
      <c r="A183" s="8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  <c r="H183">
        <f>C183-D183</f>
        <v>1282</v>
      </c>
      <c r="I183" t="str">
        <f>YEAR(A183) &amp; "-W" &amp; TEXT(_xlfn.ISOWEEKNUM(A183),"00")</f>
        <v>2025-W31</v>
      </c>
      <c r="J183" s="3"/>
      <c r="L183">
        <f t="shared" si="2"/>
        <v>-5.3907500386483703E-2</v>
      </c>
    </row>
    <row r="184" spans="1:12">
      <c r="A184" s="8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  <c r="H184">
        <f>C184-D184</f>
        <v>1387</v>
      </c>
      <c r="I184" t="str">
        <f>YEAR(A184) &amp; "-W" &amp; TEXT(_xlfn.ISOWEEKNUM(A184),"00")</f>
        <v>2025-W31</v>
      </c>
      <c r="J184" s="3"/>
      <c r="L184">
        <f t="shared" si="2"/>
        <v>-0.30855092978594451</v>
      </c>
    </row>
    <row r="185" spans="1:12">
      <c r="A185" s="8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  <c r="H185">
        <f>C185-D185</f>
        <v>667</v>
      </c>
      <c r="I185" t="str">
        <f>YEAR(A185) &amp; "-W" &amp; TEXT(_xlfn.ISOWEEKNUM(A185),"00")</f>
        <v>2025-W32</v>
      </c>
      <c r="J185" s="3"/>
      <c r="L185">
        <f t="shared" si="2"/>
        <v>-0.27725692012761416</v>
      </c>
    </row>
    <row r="186" spans="1:12">
      <c r="A186" s="8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  <c r="H186">
        <f>C186-D186</f>
        <v>499</v>
      </c>
      <c r="I186" t="str">
        <f>YEAR(A186) &amp; "-W" &amp; TEXT(_xlfn.ISOWEEKNUM(A186),"00")</f>
        <v>2025-W32</v>
      </c>
      <c r="J186" s="3"/>
      <c r="L186">
        <f t="shared" si="2"/>
        <v>-0.3009014606448373</v>
      </c>
    </row>
    <row r="187" spans="1:12">
      <c r="A187" s="8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  <c r="H187">
        <f>C187-D187</f>
        <v>523</v>
      </c>
      <c r="I187" t="str">
        <f>YEAR(A187) &amp; "-W" &amp; TEXT(_xlfn.ISOWEEKNUM(A187),"00")</f>
        <v>2025-W32</v>
      </c>
      <c r="J187" s="3"/>
      <c r="L187">
        <f t="shared" si="2"/>
        <v>-0.25060801012683753</v>
      </c>
    </row>
    <row r="188" spans="1:12">
      <c r="A188" s="8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  <c r="H188">
        <f>C188-D188</f>
        <v>896</v>
      </c>
      <c r="I188" t="str">
        <f>YEAR(A188) &amp; "-W" &amp; TEXT(_xlfn.ISOWEEKNUM(A188),"00")</f>
        <v>2025-W33</v>
      </c>
      <c r="J188" s="3"/>
      <c r="L188">
        <f t="shared" si="2"/>
        <v>-0.22258980877448264</v>
      </c>
    </row>
    <row r="189" spans="1:12">
      <c r="A189" s="8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  <c r="H189">
        <f>C189-D189</f>
        <v>702</v>
      </c>
      <c r="I189" t="str">
        <f>YEAR(A189) &amp; "-W" &amp; TEXT(_xlfn.ISOWEEKNUM(A189),"00")</f>
        <v>2025-W33</v>
      </c>
      <c r="J189" s="3"/>
      <c r="L189">
        <f t="shared" si="2"/>
        <v>-0.139650054569085</v>
      </c>
    </row>
    <row r="190" spans="1:12">
      <c r="A190" s="8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  <c r="H190">
        <f>C190-D190</f>
        <v>749</v>
      </c>
      <c r="I190" t="str">
        <f>YEAR(A190) &amp; "-W" &amp; TEXT(_xlfn.ISOWEEKNUM(A190),"00")</f>
        <v>2025-W33</v>
      </c>
      <c r="J190" s="3"/>
      <c r="L190">
        <f t="shared" si="2"/>
        <v>-0.14754863353205519</v>
      </c>
    </row>
    <row r="191" spans="1:12">
      <c r="A191" s="8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  <c r="H191">
        <f>C191-D191</f>
        <v>333</v>
      </c>
      <c r="I191" t="str">
        <f>YEAR(A191) &amp; "-W" &amp; TEXT(_xlfn.ISOWEEKNUM(A191),"00")</f>
        <v>2025-W34</v>
      </c>
      <c r="J191" s="3"/>
      <c r="L191">
        <f t="shared" si="2"/>
        <v>-0.14902703401736717</v>
      </c>
    </row>
    <row r="192" spans="1:12">
      <c r="A192" s="8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  <c r="H192">
        <f>C192-D192</f>
        <v>647</v>
      </c>
      <c r="I192" t="str">
        <f>YEAR(A192) &amp; "-W" &amp; TEXT(_xlfn.ISOWEEKNUM(A192),"00")</f>
        <v>2025-W34</v>
      </c>
      <c r="J192" s="3"/>
      <c r="L192">
        <f t="shared" si="2"/>
        <v>-1.1139071089124533E-2</v>
      </c>
    </row>
    <row r="193" spans="1:12">
      <c r="A193" s="8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  <c r="H193">
        <f>C193-D193</f>
        <v>839</v>
      </c>
      <c r="I193" t="str">
        <f>YEAR(A193) &amp; "-W" &amp; TEXT(_xlfn.ISOWEEKNUM(A193),"00")</f>
        <v>2025-W34</v>
      </c>
      <c r="J193" s="3"/>
      <c r="L193">
        <f t="shared" si="2"/>
        <v>3.8477420292166017E-3</v>
      </c>
    </row>
    <row r="194" spans="1:12">
      <c r="A194" s="8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  <c r="H194">
        <f>C194-D194</f>
        <v>960</v>
      </c>
      <c r="I194" t="str">
        <f>YEAR(A194) &amp; "-W" &amp; TEXT(_xlfn.ISOWEEKNUM(A194),"00")</f>
        <v>2025-W35</v>
      </c>
      <c r="J194" s="3"/>
      <c r="L194">
        <f t="shared" si="2"/>
        <v>-2.1759715044585608E-2</v>
      </c>
    </row>
    <row r="195" spans="1:12">
      <c r="A195" s="8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  <c r="H195">
        <f>C195-D195</f>
        <v>1168</v>
      </c>
      <c r="I195" t="str">
        <f>YEAR(A195) &amp; "-W" &amp; TEXT(_xlfn.ISOWEEKNUM(A195),"00")</f>
        <v>2025-W35</v>
      </c>
      <c r="J195" s="3"/>
      <c r="L195">
        <f t="shared" ref="L195:L201" si="3">CORREL(G195:G395, H195:H395)</f>
        <v>-0.34693226244482994</v>
      </c>
    </row>
    <row r="196" spans="1:12">
      <c r="A196" s="8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  <c r="H196">
        <f>C196-D196</f>
        <v>518</v>
      </c>
      <c r="I196" t="str">
        <f>YEAR(A196) &amp; "-W" &amp; TEXT(_xlfn.ISOWEEKNUM(A196),"00")</f>
        <v>2025-W35</v>
      </c>
      <c r="J196" s="3"/>
      <c r="L196">
        <f t="shared" si="3"/>
        <v>-0.47108960874928374</v>
      </c>
    </row>
    <row r="197" spans="1:12">
      <c r="A197" s="8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  <c r="H197">
        <f>C197-D197</f>
        <v>872</v>
      </c>
      <c r="I197" t="str">
        <f>YEAR(A197) &amp; "-W" &amp; TEXT(_xlfn.ISOWEEKNUM(A197),"00")</f>
        <v>2025-W36</v>
      </c>
      <c r="J197" s="3"/>
      <c r="L197">
        <f t="shared" si="3"/>
        <v>-0.69007816937274546</v>
      </c>
    </row>
    <row r="198" spans="1:12">
      <c r="A198" s="8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  <c r="H198">
        <f>C198-D198</f>
        <v>302</v>
      </c>
      <c r="I198" t="str">
        <f>YEAR(A198) &amp; "-W" &amp; TEXT(_xlfn.ISOWEEKNUM(A198),"00")</f>
        <v>2025-W36</v>
      </c>
      <c r="J198" s="3"/>
      <c r="L198">
        <f t="shared" si="3"/>
        <v>-0.88357286871868901</v>
      </c>
    </row>
    <row r="199" spans="1:12">
      <c r="A199" s="8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  <c r="H199">
        <f>C199-D199</f>
        <v>250</v>
      </c>
      <c r="I199" t="str">
        <f>YEAR(A199) &amp; "-W" &amp; TEXT(_xlfn.ISOWEEKNUM(A199),"00")</f>
        <v>2025-W36</v>
      </c>
      <c r="J199" s="3"/>
      <c r="L199">
        <f t="shared" si="3"/>
        <v>-0.99816644322553161</v>
      </c>
    </row>
    <row r="200" spans="1:12">
      <c r="A200" s="8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  <c r="H200">
        <f>C200-D200</f>
        <v>820</v>
      </c>
      <c r="I200" t="str">
        <f>YEAR(A200) &amp; "-W" &amp; TEXT(_xlfn.ISOWEEKNUM(A200),"00")</f>
        <v>2025-W37</v>
      </c>
      <c r="J200" s="3"/>
      <c r="L200">
        <f>CORREL(G200:G400, H200:H400)</f>
        <v>-1</v>
      </c>
    </row>
    <row r="201" spans="1:12">
      <c r="A201" s="8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  <c r="H201">
        <f>C201-D201</f>
        <v>616</v>
      </c>
      <c r="I201" t="str">
        <f>YEAR(A201) &amp; "-W" &amp; TEXT(_xlfn.ISOWEEKNUM(A201),"00")</f>
        <v>2025-W37</v>
      </c>
      <c r="J201" s="3"/>
      <c r="L201" t="e">
        <f t="shared" si="3"/>
        <v>#DIV/0!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4C92-F853-4F44-A783-1E78D78B62C9}">
  <dimension ref="A1:I1000"/>
  <sheetViews>
    <sheetView zoomScale="136" workbookViewId="0">
      <selection activeCell="C9" sqref="C9"/>
    </sheetView>
  </sheetViews>
  <sheetFormatPr defaultColWidth="14.44140625" defaultRowHeight="14.4"/>
  <cols>
    <col min="1" max="1" width="15.5546875" bestFit="1" customWidth="1"/>
    <col min="2" max="3" width="10.77734375" style="47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  <col min="8" max="8" width="17.21875" bestFit="1" customWidth="1"/>
    <col min="9" max="9" width="12.21875" bestFit="1" customWidth="1"/>
    <col min="10" max="26" width="8.6640625" customWidth="1"/>
  </cols>
  <sheetData>
    <row r="1" spans="1:9">
      <c r="A1" s="5" t="s">
        <v>12</v>
      </c>
      <c r="B1" s="48" t="s">
        <v>347</v>
      </c>
      <c r="C1" s="48" t="s">
        <v>348</v>
      </c>
      <c r="D1" s="5" t="s">
        <v>349</v>
      </c>
      <c r="E1" s="5" t="s">
        <v>350</v>
      </c>
      <c r="F1" s="5" t="s">
        <v>351</v>
      </c>
      <c r="G1" s="10" t="s">
        <v>379</v>
      </c>
      <c r="H1" s="10" t="s">
        <v>380</v>
      </c>
    </row>
    <row r="2" spans="1:9">
      <c r="A2" s="6" t="s">
        <v>59</v>
      </c>
      <c r="B2" s="49">
        <v>45458</v>
      </c>
      <c r="C2" s="49">
        <v>45488</v>
      </c>
      <c r="D2" s="6" t="s">
        <v>355</v>
      </c>
      <c r="E2" s="6">
        <v>175000</v>
      </c>
      <c r="F2" s="6" t="s">
        <v>356</v>
      </c>
      <c r="G2" s="6" t="s">
        <v>378</v>
      </c>
      <c r="H2" t="s">
        <v>377</v>
      </c>
      <c r="I2" s="47"/>
    </row>
    <row r="3" spans="1:9">
      <c r="A3" s="6" t="s">
        <v>55</v>
      </c>
      <c r="B3" s="49">
        <v>45627</v>
      </c>
      <c r="C3" s="49">
        <v>45657</v>
      </c>
      <c r="D3" s="6" t="s">
        <v>360</v>
      </c>
      <c r="E3" s="6">
        <v>225000</v>
      </c>
      <c r="F3" s="6" t="s">
        <v>361</v>
      </c>
      <c r="G3" s="6" t="s">
        <v>378</v>
      </c>
      <c r="H3" t="s">
        <v>42</v>
      </c>
    </row>
    <row r="4" spans="1:9">
      <c r="A4" s="6" t="s">
        <v>18</v>
      </c>
      <c r="B4" s="49">
        <v>45667</v>
      </c>
      <c r="C4" s="49">
        <v>45698</v>
      </c>
      <c r="D4" s="6" t="s">
        <v>365</v>
      </c>
      <c r="E4" s="6">
        <v>200000</v>
      </c>
      <c r="F4" s="6" t="s">
        <v>366</v>
      </c>
      <c r="G4" s="6" t="s">
        <v>381</v>
      </c>
      <c r="H4" t="s">
        <v>45</v>
      </c>
    </row>
    <row r="5" spans="1:9">
      <c r="A5" s="6" t="s">
        <v>22</v>
      </c>
      <c r="B5" s="49">
        <v>45717</v>
      </c>
      <c r="C5" s="49">
        <v>45747</v>
      </c>
      <c r="D5" s="6" t="s">
        <v>370</v>
      </c>
      <c r="E5" s="6">
        <v>160000</v>
      </c>
      <c r="F5" s="6" t="s">
        <v>371</v>
      </c>
      <c r="G5" s="6" t="s">
        <v>21</v>
      </c>
      <c r="H5" t="s">
        <v>382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0EE4-BB93-4163-B097-6C92ECC45F3C}">
  <dimension ref="A1:D7"/>
  <sheetViews>
    <sheetView workbookViewId="0">
      <selection activeCell="D23" sqref="D23"/>
    </sheetView>
  </sheetViews>
  <sheetFormatPr defaultRowHeight="14.4"/>
  <cols>
    <col min="1" max="1" width="54.44140625" bestFit="1" customWidth="1"/>
    <col min="2" max="2" width="10.77734375" bestFit="1" customWidth="1"/>
    <col min="3" max="3" width="12.33203125" bestFit="1" customWidth="1"/>
    <col min="4" max="4" width="12.109375" bestFit="1" customWidth="1"/>
  </cols>
  <sheetData>
    <row r="1" spans="1:4" ht="15.6">
      <c r="A1" s="62" t="s">
        <v>383</v>
      </c>
      <c r="B1" s="63"/>
      <c r="C1" s="63"/>
      <c r="D1" s="63"/>
    </row>
    <row r="2" spans="1:4">
      <c r="A2" s="12" t="s">
        <v>384</v>
      </c>
      <c r="B2" s="12" t="s">
        <v>385</v>
      </c>
      <c r="C2" s="12" t="s">
        <v>386</v>
      </c>
      <c r="D2" s="12" t="s">
        <v>387</v>
      </c>
    </row>
    <row r="3" spans="1:4">
      <c r="A3" t="s">
        <v>388</v>
      </c>
      <c r="B3" t="s">
        <v>393</v>
      </c>
      <c r="C3">
        <v>300</v>
      </c>
      <c r="D3">
        <v>300</v>
      </c>
    </row>
    <row r="4" spans="1:4">
      <c r="A4" t="s">
        <v>389</v>
      </c>
      <c r="B4" t="s">
        <v>393</v>
      </c>
      <c r="C4" t="s">
        <v>394</v>
      </c>
      <c r="D4" t="s">
        <v>398</v>
      </c>
    </row>
    <row r="5" spans="1:4">
      <c r="A5" t="s">
        <v>390</v>
      </c>
      <c r="B5" t="s">
        <v>393</v>
      </c>
      <c r="C5" t="s">
        <v>395</v>
      </c>
      <c r="D5" t="s">
        <v>399</v>
      </c>
    </row>
    <row r="6" spans="1:4">
      <c r="A6" t="s">
        <v>391</v>
      </c>
      <c r="B6" t="s">
        <v>393</v>
      </c>
      <c r="C6" t="s">
        <v>396</v>
      </c>
      <c r="D6" t="s">
        <v>400</v>
      </c>
    </row>
    <row r="7" spans="1:4">
      <c r="A7" t="s">
        <v>392</v>
      </c>
      <c r="B7" t="s">
        <v>393</v>
      </c>
      <c r="C7" t="s">
        <v>397</v>
      </c>
      <c r="D7" t="s">
        <v>401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8776-9637-4649-AE77-16C453DD72F7}">
  <dimension ref="A1:N56"/>
  <sheetViews>
    <sheetView zoomScale="79" zoomScaleNormal="100" workbookViewId="0">
      <selection activeCell="H49" sqref="H49"/>
    </sheetView>
  </sheetViews>
  <sheetFormatPr defaultRowHeight="14.4"/>
  <cols>
    <col min="1" max="1" width="18.21875" bestFit="1" customWidth="1"/>
    <col min="2" max="2" width="10.33203125" bestFit="1" customWidth="1"/>
    <col min="3" max="3" width="27.109375" bestFit="1" customWidth="1"/>
    <col min="4" max="4" width="15.88671875" bestFit="1" customWidth="1"/>
    <col min="5" max="5" width="17.21875" bestFit="1" customWidth="1"/>
    <col min="6" max="6" width="15.21875" bestFit="1" customWidth="1"/>
    <col min="7" max="10" width="17.21875" bestFit="1" customWidth="1"/>
    <col min="11" max="11" width="16.77734375" bestFit="1" customWidth="1"/>
    <col min="12" max="12" width="22.21875" bestFit="1" customWidth="1"/>
    <col min="13" max="13" width="18.21875" bestFit="1" customWidth="1"/>
  </cols>
  <sheetData>
    <row r="1" spans="1:14" ht="18">
      <c r="A1" s="66" t="s">
        <v>402</v>
      </c>
      <c r="B1" s="63"/>
      <c r="C1" s="63"/>
      <c r="D1" s="63"/>
      <c r="E1" s="63"/>
      <c r="F1" s="63"/>
      <c r="G1" s="63"/>
      <c r="H1" s="63"/>
      <c r="I1" s="63"/>
      <c r="J1" s="63"/>
    </row>
    <row r="2" spans="1:14">
      <c r="A2" s="14" t="s">
        <v>403</v>
      </c>
    </row>
    <row r="3" spans="1:14">
      <c r="A3" s="11" t="s">
        <v>405</v>
      </c>
      <c r="B3" t="s">
        <v>404</v>
      </c>
    </row>
    <row r="5" spans="1:14">
      <c r="A5" s="11"/>
    </row>
    <row r="6" spans="1:14">
      <c r="A6" s="18" t="s">
        <v>414</v>
      </c>
      <c r="B6" s="12"/>
      <c r="C6" s="12"/>
      <c r="D6" s="12"/>
      <c r="E6" s="12"/>
      <c r="F6" s="12"/>
    </row>
    <row r="7" spans="1:14">
      <c r="A7" s="15" t="s">
        <v>1</v>
      </c>
      <c r="B7" t="s">
        <v>412</v>
      </c>
      <c r="C7" t="s">
        <v>409</v>
      </c>
      <c r="D7" t="s">
        <v>408</v>
      </c>
      <c r="E7" t="s">
        <v>410</v>
      </c>
      <c r="F7" t="s">
        <v>411</v>
      </c>
    </row>
    <row r="8" spans="1:14">
      <c r="A8" s="16" t="s">
        <v>14</v>
      </c>
      <c r="B8" s="13">
        <v>9.0794830422286865E-2</v>
      </c>
      <c r="C8">
        <v>89</v>
      </c>
      <c r="D8">
        <v>251473</v>
      </c>
      <c r="E8">
        <v>20818</v>
      </c>
      <c r="F8">
        <v>29285</v>
      </c>
    </row>
    <row r="9" spans="1:14">
      <c r="A9" s="16" t="s">
        <v>24</v>
      </c>
      <c r="B9" s="13">
        <v>9.6034606364774039E-2</v>
      </c>
      <c r="C9">
        <v>148</v>
      </c>
      <c r="D9">
        <v>450295</v>
      </c>
      <c r="E9">
        <v>31577</v>
      </c>
      <c r="F9">
        <v>45498</v>
      </c>
    </row>
    <row r="10" spans="1:14">
      <c r="A10" s="16" t="s">
        <v>31</v>
      </c>
      <c r="B10" s="13">
        <v>8.8108118547634104E-2</v>
      </c>
      <c r="C10">
        <v>63</v>
      </c>
      <c r="D10">
        <v>195407</v>
      </c>
      <c r="E10">
        <v>14671</v>
      </c>
      <c r="F10">
        <v>18618</v>
      </c>
    </row>
    <row r="11" spans="1:14">
      <c r="A11" s="16" t="s">
        <v>406</v>
      </c>
      <c r="B11" s="13">
        <v>9.281557706023677E-2</v>
      </c>
      <c r="C11">
        <v>300</v>
      </c>
      <c r="D11">
        <v>897175</v>
      </c>
      <c r="E11">
        <v>67066</v>
      </c>
      <c r="F11">
        <v>93401</v>
      </c>
    </row>
    <row r="14" spans="1:14">
      <c r="A14" s="14" t="s">
        <v>417</v>
      </c>
    </row>
    <row r="15" spans="1:14">
      <c r="A15" s="23" t="s">
        <v>413</v>
      </c>
      <c r="B15" s="23" t="s">
        <v>0</v>
      </c>
      <c r="C15" s="23" t="s">
        <v>1</v>
      </c>
      <c r="D15" s="23" t="s">
        <v>3</v>
      </c>
      <c r="E15" s="23" t="s">
        <v>415</v>
      </c>
      <c r="F15" s="23" t="s">
        <v>5</v>
      </c>
      <c r="G15" s="23" t="s">
        <v>7</v>
      </c>
      <c r="H15" s="23" t="s">
        <v>6</v>
      </c>
      <c r="I15" s="23" t="s">
        <v>8</v>
      </c>
    </row>
    <row r="16" spans="1:14">
      <c r="A16" s="21">
        <v>1</v>
      </c>
      <c r="B16" s="21" t="s">
        <v>36</v>
      </c>
      <c r="C16" s="21" t="s">
        <v>24</v>
      </c>
      <c r="D16" s="21" t="s">
        <v>25</v>
      </c>
      <c r="E16" s="22">
        <v>0.2606</v>
      </c>
      <c r="F16" s="21">
        <v>4674</v>
      </c>
      <c r="G16" s="21">
        <v>409</v>
      </c>
      <c r="H16" s="21">
        <v>327</v>
      </c>
      <c r="I16" s="21">
        <v>20756</v>
      </c>
      <c r="J16" s="3"/>
      <c r="K16" s="3"/>
      <c r="L16" s="1"/>
      <c r="M16" s="1"/>
      <c r="N16" s="13"/>
    </row>
    <row r="17" spans="1:14">
      <c r="A17" s="21">
        <v>2</v>
      </c>
      <c r="B17" s="21" t="s">
        <v>146</v>
      </c>
      <c r="C17" s="21" t="s">
        <v>24</v>
      </c>
      <c r="D17" s="21" t="s">
        <v>25</v>
      </c>
      <c r="E17" s="22">
        <v>0.2319</v>
      </c>
      <c r="F17" s="21">
        <v>4619</v>
      </c>
      <c r="G17" s="21">
        <v>272</v>
      </c>
      <c r="H17" s="21">
        <v>57</v>
      </c>
      <c r="I17" s="21">
        <v>21334</v>
      </c>
      <c r="J17" s="3"/>
      <c r="K17" s="3"/>
      <c r="L17" s="1"/>
      <c r="M17" s="1"/>
      <c r="N17" s="13"/>
    </row>
    <row r="18" spans="1:14">
      <c r="A18" s="21">
        <v>3</v>
      </c>
      <c r="B18" s="21" t="s">
        <v>226</v>
      </c>
      <c r="C18" s="21" t="s">
        <v>24</v>
      </c>
      <c r="D18" s="21" t="s">
        <v>25</v>
      </c>
      <c r="E18" s="22">
        <v>0.22969999999999999</v>
      </c>
      <c r="F18" s="21">
        <v>4618</v>
      </c>
      <c r="G18" s="21">
        <v>312</v>
      </c>
      <c r="H18" s="21">
        <v>254</v>
      </c>
      <c r="I18" s="21">
        <v>22571</v>
      </c>
      <c r="J18" s="3"/>
      <c r="K18" s="3"/>
      <c r="L18" s="1"/>
      <c r="M18" s="1"/>
      <c r="N18" s="13"/>
    </row>
    <row r="19" spans="1:14">
      <c r="A19" s="21">
        <v>4</v>
      </c>
      <c r="B19" s="21" t="s">
        <v>319</v>
      </c>
      <c r="C19" s="21" t="s">
        <v>24</v>
      </c>
      <c r="D19" s="21" t="s">
        <v>25</v>
      </c>
      <c r="E19" s="22">
        <v>0.20449999999999999</v>
      </c>
      <c r="F19" s="21">
        <v>3507</v>
      </c>
      <c r="G19" s="21">
        <v>295</v>
      </c>
      <c r="H19" s="21">
        <v>371</v>
      </c>
      <c r="I19" s="21">
        <v>20410</v>
      </c>
      <c r="J19" s="3"/>
      <c r="K19" s="3"/>
      <c r="L19" s="1"/>
      <c r="M19" s="1"/>
      <c r="N19" s="13"/>
    </row>
    <row r="20" spans="1:14">
      <c r="A20" s="21">
        <v>5</v>
      </c>
      <c r="B20" s="21" t="s">
        <v>90</v>
      </c>
      <c r="C20" s="21" t="s">
        <v>24</v>
      </c>
      <c r="D20" s="21" t="s">
        <v>15</v>
      </c>
      <c r="E20" s="22">
        <v>0.2024</v>
      </c>
      <c r="F20" s="21">
        <v>4401</v>
      </c>
      <c r="G20" s="21">
        <v>421</v>
      </c>
      <c r="H20" s="21">
        <v>216</v>
      </c>
      <c r="I20" s="21">
        <v>24890</v>
      </c>
      <c r="J20" s="3"/>
      <c r="K20" s="3"/>
      <c r="L20" s="1"/>
      <c r="M20" s="1"/>
      <c r="N20" s="13"/>
    </row>
    <row r="21" spans="1:14">
      <c r="A21" s="21">
        <v>6</v>
      </c>
      <c r="B21" s="21" t="s">
        <v>62</v>
      </c>
      <c r="C21" s="21" t="s">
        <v>14</v>
      </c>
      <c r="D21" s="21" t="s">
        <v>15</v>
      </c>
      <c r="E21" s="22">
        <v>0.19550000000000001</v>
      </c>
      <c r="F21" s="21">
        <v>4896</v>
      </c>
      <c r="G21" s="21">
        <v>466</v>
      </c>
      <c r="H21" s="21">
        <v>233</v>
      </c>
      <c r="I21" s="21">
        <v>28621</v>
      </c>
      <c r="J21" s="3"/>
      <c r="K21" s="3"/>
      <c r="L21" s="1"/>
      <c r="M21" s="1"/>
      <c r="N21" s="13"/>
    </row>
    <row r="22" spans="1:14">
      <c r="A22" s="21">
        <v>7</v>
      </c>
      <c r="B22" s="21" t="s">
        <v>197</v>
      </c>
      <c r="C22" s="21" t="s">
        <v>31</v>
      </c>
      <c r="D22" s="21" t="s">
        <v>15</v>
      </c>
      <c r="E22" s="22">
        <v>0.19389999999999999</v>
      </c>
      <c r="F22" s="21">
        <v>4425</v>
      </c>
      <c r="G22" s="21">
        <v>185</v>
      </c>
      <c r="H22" s="21">
        <v>162</v>
      </c>
      <c r="I22" s="21">
        <v>24610</v>
      </c>
      <c r="J22" s="3"/>
      <c r="K22" s="3"/>
      <c r="L22" s="1"/>
      <c r="M22" s="1"/>
      <c r="N22" s="13"/>
    </row>
    <row r="23" spans="1:14">
      <c r="A23" s="21">
        <v>8</v>
      </c>
      <c r="B23" s="21" t="s">
        <v>288</v>
      </c>
      <c r="C23" s="21" t="s">
        <v>31</v>
      </c>
      <c r="D23" s="21" t="s">
        <v>57</v>
      </c>
      <c r="E23" s="22">
        <v>0.19259999999999999</v>
      </c>
      <c r="F23" s="21">
        <v>4722</v>
      </c>
      <c r="G23" s="21">
        <v>310</v>
      </c>
      <c r="H23" s="21">
        <v>344</v>
      </c>
      <c r="I23" s="21">
        <v>27911</v>
      </c>
      <c r="J23" s="3"/>
      <c r="K23" s="3"/>
      <c r="L23" s="1"/>
      <c r="M23" s="1"/>
      <c r="N23" s="13"/>
    </row>
    <row r="24" spans="1:14">
      <c r="A24" s="21">
        <v>9</v>
      </c>
      <c r="B24" s="21" t="s">
        <v>176</v>
      </c>
      <c r="C24" s="21" t="s">
        <v>24</v>
      </c>
      <c r="D24" s="21" t="s">
        <v>15</v>
      </c>
      <c r="E24" s="22">
        <v>0.18720000000000001</v>
      </c>
      <c r="F24" s="21">
        <v>3728</v>
      </c>
      <c r="G24" s="21">
        <v>271</v>
      </c>
      <c r="H24" s="21">
        <v>275</v>
      </c>
      <c r="I24" s="21">
        <v>22827</v>
      </c>
      <c r="J24" s="3"/>
      <c r="K24" s="3"/>
      <c r="L24" s="1"/>
      <c r="M24" s="1"/>
      <c r="N24" s="13"/>
    </row>
    <row r="25" spans="1:14">
      <c r="A25" s="21">
        <v>10</v>
      </c>
      <c r="B25" s="21" t="s">
        <v>108</v>
      </c>
      <c r="C25" s="21" t="s">
        <v>24</v>
      </c>
      <c r="D25" s="21" t="s">
        <v>15</v>
      </c>
      <c r="E25" s="22">
        <v>0.1852</v>
      </c>
      <c r="F25" s="21">
        <v>3276</v>
      </c>
      <c r="G25" s="21">
        <v>421</v>
      </c>
      <c r="H25" s="21">
        <v>114</v>
      </c>
      <c r="I25" s="21">
        <v>20580</v>
      </c>
      <c r="J25" s="3"/>
      <c r="K25" s="3"/>
      <c r="L25" s="1"/>
      <c r="M25" s="1"/>
      <c r="N25" s="13"/>
    </row>
    <row r="27" spans="1:14">
      <c r="A27" s="67" t="s">
        <v>419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4">
      <c r="A28" s="68" t="s">
        <v>418</v>
      </c>
      <c r="B28" s="68"/>
      <c r="C28" s="68"/>
      <c r="D28" s="68"/>
      <c r="E28" s="68"/>
      <c r="F28" s="68"/>
    </row>
    <row r="29" spans="1:14">
      <c r="A29" s="15" t="s">
        <v>3</v>
      </c>
      <c r="B29" s="15" t="s">
        <v>1</v>
      </c>
      <c r="C29" t="s">
        <v>408</v>
      </c>
      <c r="D29" t="s">
        <v>411</v>
      </c>
      <c r="E29" t="s">
        <v>410</v>
      </c>
      <c r="F29" t="s">
        <v>416</v>
      </c>
    </row>
    <row r="30" spans="1:14">
      <c r="A30" t="s">
        <v>57</v>
      </c>
      <c r="B30" t="s">
        <v>31</v>
      </c>
      <c r="C30">
        <v>89871</v>
      </c>
      <c r="D30">
        <v>9086</v>
      </c>
      <c r="E30">
        <v>6826</v>
      </c>
      <c r="F30">
        <v>29</v>
      </c>
    </row>
    <row r="31" spans="1:14">
      <c r="A31" t="s">
        <v>25</v>
      </c>
      <c r="B31" t="s">
        <v>14</v>
      </c>
      <c r="C31">
        <v>61815</v>
      </c>
      <c r="D31">
        <v>7993</v>
      </c>
      <c r="E31">
        <v>5656</v>
      </c>
      <c r="F31">
        <v>23</v>
      </c>
    </row>
    <row r="32" spans="1:14">
      <c r="B32" t="s">
        <v>24</v>
      </c>
      <c r="C32">
        <v>272103</v>
      </c>
      <c r="D32">
        <v>26494</v>
      </c>
      <c r="E32">
        <v>18442</v>
      </c>
      <c r="F32">
        <v>87</v>
      </c>
    </row>
    <row r="33" spans="1:11">
      <c r="A33" t="s">
        <v>15</v>
      </c>
      <c r="B33" t="s">
        <v>14</v>
      </c>
      <c r="C33">
        <v>189658</v>
      </c>
      <c r="D33">
        <v>21292</v>
      </c>
      <c r="E33">
        <v>15162</v>
      </c>
      <c r="F33">
        <v>66</v>
      </c>
    </row>
    <row r="34" spans="1:11">
      <c r="B34" t="s">
        <v>24</v>
      </c>
      <c r="C34">
        <v>178192</v>
      </c>
      <c r="D34">
        <v>19004</v>
      </c>
      <c r="E34">
        <v>13135</v>
      </c>
      <c r="F34">
        <v>61</v>
      </c>
    </row>
    <row r="35" spans="1:11">
      <c r="B35" t="s">
        <v>31</v>
      </c>
      <c r="C35">
        <v>105536</v>
      </c>
      <c r="D35">
        <v>9532</v>
      </c>
      <c r="E35">
        <v>7845</v>
      </c>
      <c r="F35">
        <v>34</v>
      </c>
    </row>
    <row r="38" spans="1:11" ht="15" thickBot="1">
      <c r="A38" s="61" t="s">
        <v>420</v>
      </c>
      <c r="B38" s="61"/>
      <c r="C38" s="61"/>
      <c r="D38" s="61"/>
      <c r="E38" s="61"/>
      <c r="F38" s="25"/>
      <c r="H38" s="16"/>
      <c r="J38" s="13"/>
      <c r="K38" s="26"/>
    </row>
    <row r="39" spans="1:11">
      <c r="A39" s="15" t="s">
        <v>424</v>
      </c>
      <c r="B39" t="s">
        <v>422</v>
      </c>
      <c r="C39" s="13" t="s">
        <v>407</v>
      </c>
      <c r="D39" t="s">
        <v>421</v>
      </c>
      <c r="E39" s="28" t="s">
        <v>413</v>
      </c>
      <c r="H39" s="16"/>
      <c r="J39" s="13"/>
      <c r="K39" s="26"/>
    </row>
    <row r="40" spans="1:11">
      <c r="A40" s="16" t="s">
        <v>378</v>
      </c>
      <c r="B40">
        <v>34</v>
      </c>
      <c r="C40" s="13">
        <v>8.640329129367573E-2</v>
      </c>
      <c r="D40">
        <v>208.47058823529412</v>
      </c>
      <c r="E40">
        <f>RANK(D40,$D$40:$D$44,0)</f>
        <v>1</v>
      </c>
      <c r="H40" s="16"/>
      <c r="J40" s="13"/>
      <c r="K40" s="26"/>
    </row>
    <row r="41" spans="1:11">
      <c r="A41" s="16" t="s">
        <v>21</v>
      </c>
      <c r="B41">
        <v>130</v>
      </c>
      <c r="C41" s="13">
        <v>8.760663345122878E-2</v>
      </c>
      <c r="D41">
        <v>197.16923076923078</v>
      </c>
      <c r="E41">
        <f t="shared" ref="E41:E44" si="0">RANK(D41,$D$40:$D$44,0)</f>
        <v>2</v>
      </c>
      <c r="H41" s="16"/>
      <c r="J41" s="13"/>
      <c r="K41" s="26"/>
    </row>
    <row r="42" spans="1:11">
      <c r="A42" s="16" t="s">
        <v>45</v>
      </c>
      <c r="B42">
        <v>109</v>
      </c>
      <c r="C42" s="13">
        <v>9.4448669905002544E-2</v>
      </c>
      <c r="D42">
        <v>192.45871559633028</v>
      </c>
      <c r="E42">
        <f t="shared" si="0"/>
        <v>3</v>
      </c>
      <c r="H42" s="16"/>
      <c r="J42" s="13"/>
      <c r="K42" s="26"/>
    </row>
    <row r="43" spans="1:11">
      <c r="A43" s="16" t="s">
        <v>42</v>
      </c>
      <c r="B43">
        <v>143</v>
      </c>
      <c r="C43" s="13">
        <v>9.8567431094720506E-2</v>
      </c>
      <c r="D43">
        <v>186.72027972027973</v>
      </c>
      <c r="E43">
        <f t="shared" si="0"/>
        <v>4</v>
      </c>
    </row>
    <row r="44" spans="1:11">
      <c r="A44" s="16" t="s">
        <v>377</v>
      </c>
      <c r="B44">
        <v>67</v>
      </c>
      <c r="C44" s="13">
        <v>8.9057449367429237E-2</v>
      </c>
      <c r="D44">
        <v>183.47761194029852</v>
      </c>
      <c r="E44">
        <f t="shared" si="0"/>
        <v>5</v>
      </c>
    </row>
    <row r="45" spans="1:11">
      <c r="A45" s="16" t="s">
        <v>406</v>
      </c>
      <c r="B45">
        <v>483</v>
      </c>
      <c r="C45" s="13">
        <v>9.251236237360827E-2</v>
      </c>
      <c r="D45">
        <v>191.9089026915114</v>
      </c>
    </row>
    <row r="49" spans="1:6">
      <c r="A49" s="64" t="s">
        <v>428</v>
      </c>
      <c r="B49" s="65"/>
      <c r="C49" s="65"/>
      <c r="D49" s="65"/>
      <c r="E49" s="65"/>
      <c r="F49" s="65"/>
    </row>
    <row r="50" spans="1:6">
      <c r="A50" s="30" t="s">
        <v>429</v>
      </c>
      <c r="B50" s="30" t="s">
        <v>422</v>
      </c>
      <c r="C50" s="31" t="s">
        <v>407</v>
      </c>
      <c r="D50" s="30" t="s">
        <v>421</v>
      </c>
      <c r="E50" s="24" t="s">
        <v>413</v>
      </c>
      <c r="F50" s="30"/>
    </row>
    <row r="51" spans="1:6">
      <c r="A51" s="16" t="s">
        <v>21</v>
      </c>
      <c r="B51">
        <v>130</v>
      </c>
      <c r="C51" s="13">
        <v>8.760663345122878E-2</v>
      </c>
      <c r="D51">
        <v>197.16923076923078</v>
      </c>
      <c r="E51" s="29">
        <f>RANK(C51,$C$51:$C$55,0)</f>
        <v>4</v>
      </c>
    </row>
    <row r="52" spans="1:6">
      <c r="A52" s="16" t="s">
        <v>377</v>
      </c>
      <c r="B52">
        <v>67</v>
      </c>
      <c r="C52" s="13">
        <v>8.9057449367429237E-2</v>
      </c>
      <c r="D52">
        <v>183.47761194029852</v>
      </c>
      <c r="E52" s="29">
        <f t="shared" ref="E52:E55" si="1">RANK(C52,$C$51:$C$55,0)</f>
        <v>3</v>
      </c>
    </row>
    <row r="53" spans="1:6">
      <c r="A53" s="16" t="s">
        <v>42</v>
      </c>
      <c r="B53">
        <v>143</v>
      </c>
      <c r="C53" s="13">
        <v>9.8567431094720506E-2</v>
      </c>
      <c r="D53">
        <v>186.72027972027973</v>
      </c>
      <c r="E53" s="29">
        <f t="shared" si="1"/>
        <v>1</v>
      </c>
    </row>
    <row r="54" spans="1:6">
      <c r="A54" s="16" t="s">
        <v>45</v>
      </c>
      <c r="B54">
        <v>109</v>
      </c>
      <c r="C54" s="13">
        <v>9.4448669905002544E-2</v>
      </c>
      <c r="D54">
        <v>192.45871559633028</v>
      </c>
      <c r="E54" s="29">
        <f t="shared" si="1"/>
        <v>2</v>
      </c>
    </row>
    <row r="55" spans="1:6">
      <c r="A55" s="16" t="s">
        <v>378</v>
      </c>
      <c r="B55">
        <v>34</v>
      </c>
      <c r="C55" s="13">
        <v>8.640329129367573E-2</v>
      </c>
      <c r="D55">
        <v>208.47058823529412</v>
      </c>
      <c r="E55" s="29">
        <f t="shared" si="1"/>
        <v>5</v>
      </c>
    </row>
    <row r="56" spans="1:6">
      <c r="A56" s="32" t="s">
        <v>406</v>
      </c>
      <c r="B56" s="30">
        <v>483</v>
      </c>
      <c r="C56" s="31">
        <v>9.251236237360827E-2</v>
      </c>
      <c r="D56" s="30">
        <v>191.9089026915114</v>
      </c>
      <c r="E56" s="30"/>
      <c r="F56" s="30"/>
    </row>
  </sheetData>
  <autoFilter ref="A15:I25" xr:uid="{E4638776-9637-4649-AE77-16C453DD72F7}"/>
  <mergeCells count="5">
    <mergeCell ref="A49:F49"/>
    <mergeCell ref="A1:J1"/>
    <mergeCell ref="A27:K27"/>
    <mergeCell ref="A28:F28"/>
    <mergeCell ref="A38:E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D6E0-1721-4397-8776-925A2DF8BBC1}">
  <dimension ref="A1:O42"/>
  <sheetViews>
    <sheetView zoomScale="56" workbookViewId="0">
      <selection activeCell="T32" sqref="T32"/>
    </sheetView>
  </sheetViews>
  <sheetFormatPr defaultRowHeight="14.4"/>
  <cols>
    <col min="1" max="1" width="14.77734375" bestFit="1" customWidth="1"/>
    <col min="2" max="2" width="35.21875" bestFit="1" customWidth="1"/>
    <col min="3" max="3" width="23.109375" bestFit="1" customWidth="1"/>
    <col min="4" max="4" width="16.5546875" bestFit="1" customWidth="1"/>
    <col min="5" max="5" width="19.5546875" bestFit="1" customWidth="1"/>
    <col min="6" max="6" width="18.21875" bestFit="1" customWidth="1"/>
    <col min="7" max="8" width="18.109375" bestFit="1" customWidth="1"/>
    <col min="9" max="9" width="21.5546875" bestFit="1" customWidth="1"/>
  </cols>
  <sheetData>
    <row r="1" spans="1:8" ht="18">
      <c r="A1" s="66" t="s">
        <v>430</v>
      </c>
      <c r="B1" s="63"/>
      <c r="C1" s="63"/>
      <c r="D1" s="63"/>
      <c r="E1" s="63"/>
      <c r="F1" s="63"/>
      <c r="G1" s="63"/>
      <c r="H1" s="63"/>
    </row>
    <row r="3" spans="1:8">
      <c r="A3" s="68" t="s">
        <v>431</v>
      </c>
      <c r="B3" s="68"/>
      <c r="C3" s="68"/>
      <c r="D3" s="68"/>
      <c r="E3" s="68"/>
      <c r="F3" s="68"/>
    </row>
    <row r="4" spans="1:8">
      <c r="A4" s="33"/>
      <c r="B4" s="33"/>
      <c r="C4" s="33"/>
      <c r="D4" s="33"/>
      <c r="E4" s="33"/>
      <c r="F4" s="33"/>
    </row>
    <row r="5" spans="1:8">
      <c r="A5" s="15" t="s">
        <v>1</v>
      </c>
      <c r="B5" t="s">
        <v>407</v>
      </c>
      <c r="C5" t="s">
        <v>436</v>
      </c>
      <c r="D5" t="s">
        <v>427</v>
      </c>
      <c r="E5" t="s">
        <v>416</v>
      </c>
      <c r="F5" s="13" t="s">
        <v>437</v>
      </c>
    </row>
    <row r="6" spans="1:8">
      <c r="A6" s="16" t="s">
        <v>14</v>
      </c>
      <c r="B6" s="13">
        <v>9.0794830422286865E-2</v>
      </c>
      <c r="C6">
        <v>3553489</v>
      </c>
      <c r="D6">
        <v>17417</v>
      </c>
      <c r="E6">
        <v>89</v>
      </c>
      <c r="F6" s="13">
        <v>4.9013800239708074E-3</v>
      </c>
    </row>
    <row r="7" spans="1:8">
      <c r="A7" s="16" t="s">
        <v>24</v>
      </c>
      <c r="B7" s="13">
        <v>9.6034606364774039E-2</v>
      </c>
      <c r="C7">
        <v>6138949</v>
      </c>
      <c r="D7">
        <v>27534</v>
      </c>
      <c r="E7">
        <v>148</v>
      </c>
      <c r="F7" s="13">
        <v>4.4851325528197095E-3</v>
      </c>
    </row>
    <row r="8" spans="1:8">
      <c r="A8" s="16" t="s">
        <v>31</v>
      </c>
      <c r="B8" s="13">
        <v>8.8108118547634104E-2</v>
      </c>
      <c r="C8">
        <v>2777994</v>
      </c>
      <c r="D8">
        <v>12645</v>
      </c>
      <c r="E8">
        <v>63</v>
      </c>
      <c r="F8" s="13">
        <v>4.5518456843319319E-3</v>
      </c>
    </row>
    <row r="9" spans="1:8">
      <c r="A9" s="16" t="s">
        <v>406</v>
      </c>
      <c r="B9" s="13">
        <v>9.281557706023677E-2</v>
      </c>
      <c r="C9">
        <v>12470432</v>
      </c>
      <c r="D9">
        <v>57596</v>
      </c>
      <c r="E9">
        <v>300</v>
      </c>
      <c r="F9" s="13">
        <v>4.6186050330894709E-3</v>
      </c>
    </row>
    <row r="12" spans="1:8">
      <c r="A12" s="71" t="s">
        <v>438</v>
      </c>
      <c r="B12" s="71"/>
      <c r="C12" s="71"/>
      <c r="D12" s="71"/>
      <c r="E12" s="71"/>
    </row>
    <row r="14" spans="1:8">
      <c r="A14" s="15" t="s">
        <v>1</v>
      </c>
      <c r="B14" t="s">
        <v>441</v>
      </c>
      <c r="C14" t="s">
        <v>440</v>
      </c>
      <c r="D14" t="s">
        <v>442</v>
      </c>
      <c r="E14" s="29" t="s">
        <v>443</v>
      </c>
      <c r="F14" s="34" t="s">
        <v>444</v>
      </c>
    </row>
    <row r="15" spans="1:8">
      <c r="A15" s="16" t="s">
        <v>14</v>
      </c>
      <c r="B15">
        <v>62938</v>
      </c>
      <c r="C15">
        <v>11900</v>
      </c>
      <c r="D15">
        <v>376358</v>
      </c>
      <c r="E15">
        <v>51038</v>
      </c>
      <c r="F15" s="13">
        <v>3.2628200321218807E-3</v>
      </c>
    </row>
    <row r="16" spans="1:8">
      <c r="A16" s="16" t="s">
        <v>24</v>
      </c>
      <c r="B16">
        <v>67378</v>
      </c>
      <c r="C16">
        <v>11834</v>
      </c>
      <c r="D16">
        <v>387352</v>
      </c>
      <c r="E16">
        <v>55544</v>
      </c>
      <c r="F16" s="13">
        <v>3.8108769305068642E-3</v>
      </c>
    </row>
    <row r="17" spans="1:15">
      <c r="A17" s="16" t="s">
        <v>31</v>
      </c>
      <c r="B17">
        <v>66245</v>
      </c>
      <c r="C17">
        <v>11239</v>
      </c>
      <c r="D17">
        <v>397607</v>
      </c>
      <c r="E17">
        <v>55006</v>
      </c>
      <c r="F17" s="13">
        <v>3.3778366971995936E-3</v>
      </c>
    </row>
    <row r="18" spans="1:15">
      <c r="A18" s="16" t="s">
        <v>406</v>
      </c>
      <c r="B18">
        <v>196561</v>
      </c>
      <c r="C18">
        <v>34973</v>
      </c>
      <c r="D18">
        <v>397607</v>
      </c>
      <c r="E18">
        <v>161588</v>
      </c>
      <c r="F18" s="13">
        <v>3.4748757182704749E-3</v>
      </c>
    </row>
    <row r="22" spans="1:15">
      <c r="A22" s="61" t="s">
        <v>445</v>
      </c>
      <c r="B22" s="65"/>
      <c r="C22" s="65"/>
      <c r="D22" s="65"/>
      <c r="E22" s="65"/>
    </row>
    <row r="23" spans="1:15">
      <c r="A23" s="15" t="s">
        <v>1</v>
      </c>
      <c r="B23" t="s">
        <v>446</v>
      </c>
      <c r="C23" s="35" t="s">
        <v>407</v>
      </c>
      <c r="D23" t="s">
        <v>439</v>
      </c>
      <c r="E23" t="s">
        <v>447</v>
      </c>
      <c r="F23" s="13" t="s">
        <v>448</v>
      </c>
    </row>
    <row r="24" spans="1:15">
      <c r="A24" s="16" t="s">
        <v>14</v>
      </c>
      <c r="B24">
        <v>1035942</v>
      </c>
      <c r="C24" s="35">
        <v>6.4582089552238831</v>
      </c>
      <c r="D24">
        <v>62938</v>
      </c>
      <c r="E24">
        <v>16.459722266357367</v>
      </c>
      <c r="F24" s="13">
        <v>6.0754366557201081E-2</v>
      </c>
    </row>
    <row r="25" spans="1:15">
      <c r="A25" s="16" t="s">
        <v>24</v>
      </c>
      <c r="B25">
        <v>1114204</v>
      </c>
      <c r="C25" s="35">
        <v>6.8856716417910446</v>
      </c>
      <c r="D25">
        <v>67378</v>
      </c>
      <c r="E25">
        <v>16.536614325150644</v>
      </c>
      <c r="F25" s="13">
        <v>6.0471870501272659E-2</v>
      </c>
    </row>
    <row r="26" spans="1:15">
      <c r="A26" s="16" t="s">
        <v>31</v>
      </c>
      <c r="B26">
        <v>1065782</v>
      </c>
      <c r="C26" s="35">
        <v>6.7189393939393929</v>
      </c>
      <c r="D26">
        <v>66245</v>
      </c>
      <c r="E26">
        <v>16.08848969733565</v>
      </c>
      <c r="F26" s="13">
        <v>6.2156238330165078E-2</v>
      </c>
    </row>
    <row r="27" spans="1:15">
      <c r="A27" s="16" t="s">
        <v>406</v>
      </c>
      <c r="B27">
        <v>3215928</v>
      </c>
      <c r="C27" s="35">
        <v>6.6874499999999975</v>
      </c>
      <c r="D27">
        <v>196561</v>
      </c>
      <c r="E27">
        <v>16.360966824548104</v>
      </c>
      <c r="F27" s="13">
        <v>6.1121082312788094E-2</v>
      </c>
    </row>
    <row r="32" spans="1:15">
      <c r="A32" s="70" t="s">
        <v>449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5" spans="1:15">
      <c r="A35" s="15" t="s">
        <v>1</v>
      </c>
      <c r="B35" t="s">
        <v>446</v>
      </c>
      <c r="C35" s="35" t="s">
        <v>407</v>
      </c>
      <c r="D35" t="s">
        <v>439</v>
      </c>
      <c r="E35" s="37" t="s">
        <v>450</v>
      </c>
      <c r="F35" s="37" t="s">
        <v>451</v>
      </c>
      <c r="G35" s="37" t="s">
        <v>452</v>
      </c>
      <c r="H35" s="37" t="s">
        <v>453</v>
      </c>
      <c r="I35" s="37" t="s">
        <v>454</v>
      </c>
    </row>
    <row r="36" spans="1:15">
      <c r="A36" s="38" t="s">
        <v>14</v>
      </c>
      <c r="B36" s="38">
        <v>1035942</v>
      </c>
      <c r="C36" s="39">
        <v>6.4582089552238831</v>
      </c>
      <c r="D36" s="38">
        <v>62938</v>
      </c>
      <c r="E36" s="38">
        <f xml:space="preserve"> B36 / D36</f>
        <v>16.459722266357367</v>
      </c>
      <c r="F36" s="38">
        <f xml:space="preserve"> C36 / MAX($C$36:$C$38) * 100</f>
        <v>93.791997225473651</v>
      </c>
      <c r="G36" s="38">
        <f xml:space="preserve"> D36 / MAX($D$36:$D$38) * 100</f>
        <v>93.410311971266594</v>
      </c>
      <c r="H36" s="38">
        <f xml:space="preserve"> MIN($E$36:$E$38) / E36 * 100</f>
        <v>97.744600042368319</v>
      </c>
      <c r="I36" s="38">
        <f xml:space="preserve"> (F36*0.4) + (G36*0.4) + (H36*0.2)</f>
        <v>94.42984368716975</v>
      </c>
    </row>
    <row r="37" spans="1:15">
      <c r="A37" s="38" t="s">
        <v>24</v>
      </c>
      <c r="B37" s="38">
        <v>1114204</v>
      </c>
      <c r="C37" s="39">
        <v>6.8856716417910446</v>
      </c>
      <c r="D37" s="38">
        <v>67378</v>
      </c>
      <c r="E37" s="38">
        <f t="shared" ref="E37:E38" si="0" xml:space="preserve"> B37 / D37</f>
        <v>16.536614325150644</v>
      </c>
      <c r="F37" s="38">
        <f t="shared" ref="F37:F38" si="1" xml:space="preserve"> C37 / MAX($C$36:$C$38) * 100</f>
        <v>100</v>
      </c>
      <c r="G37" s="38">
        <f t="shared" ref="G37:G38" si="2" xml:space="preserve"> D37 / MAX($D$36:$D$38) * 100</f>
        <v>100</v>
      </c>
      <c r="H37" s="38">
        <f t="shared" ref="H37:H38" si="3" xml:space="preserve"> MIN($E$36:$E$38) / E37 * 100</f>
        <v>97.290106553834065</v>
      </c>
      <c r="I37" s="38">
        <f t="shared" ref="I37:I38" si="4" xml:space="preserve"> (F37*0.4) + (G37*0.4) + (H37*0.2)</f>
        <v>99.45802131076681</v>
      </c>
    </row>
    <row r="38" spans="1:15">
      <c r="A38" s="38" t="s">
        <v>31</v>
      </c>
      <c r="B38" s="38">
        <v>1065782</v>
      </c>
      <c r="C38" s="39">
        <v>6.7189393939393929</v>
      </c>
      <c r="D38" s="38">
        <v>66245</v>
      </c>
      <c r="E38" s="38">
        <f t="shared" si="0"/>
        <v>16.08848969733565</v>
      </c>
      <c r="F38" s="38">
        <f t="shared" si="1"/>
        <v>97.578562317149903</v>
      </c>
      <c r="G38" s="38">
        <f t="shared" si="2"/>
        <v>98.318442221496625</v>
      </c>
      <c r="H38" s="38">
        <f t="shared" si="3"/>
        <v>100</v>
      </c>
      <c r="I38" s="38">
        <f t="shared" si="4"/>
        <v>98.358801815458605</v>
      </c>
    </row>
    <row r="41" spans="1:15">
      <c r="A41" s="69" t="s">
        <v>455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</row>
    <row r="42" spans="1:15" ht="15.6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</sheetData>
  <mergeCells count="6">
    <mergeCell ref="A41:O42"/>
    <mergeCell ref="A22:E22"/>
    <mergeCell ref="A32:O32"/>
    <mergeCell ref="A1:H1"/>
    <mergeCell ref="A12:E12"/>
    <mergeCell ref="A3:F3"/>
  </mergeCells>
  <conditionalFormatting sqref="I36:I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D814-223B-48D3-8FD7-891C86081C1D}">
  <dimension ref="A2:K34"/>
  <sheetViews>
    <sheetView zoomScale="72" workbookViewId="0">
      <selection activeCell="C39" sqref="C39"/>
    </sheetView>
  </sheetViews>
  <sheetFormatPr defaultRowHeight="14.4"/>
  <cols>
    <col min="1" max="1" width="16.77734375" bestFit="1" customWidth="1"/>
    <col min="2" max="4" width="12.33203125" bestFit="1" customWidth="1"/>
    <col min="5" max="5" width="10.77734375" bestFit="1" customWidth="1"/>
    <col min="6" max="6" width="34.6640625" bestFit="1" customWidth="1"/>
  </cols>
  <sheetData>
    <row r="2" spans="1:8" ht="18">
      <c r="A2" s="59" t="s">
        <v>459</v>
      </c>
      <c r="B2" s="60"/>
      <c r="C2" s="60"/>
      <c r="D2" s="60"/>
      <c r="E2" s="60"/>
      <c r="F2" s="60"/>
      <c r="G2" s="60"/>
      <c r="H2" s="60"/>
    </row>
    <row r="3" spans="1:8" ht="15" thickBot="1">
      <c r="A3" s="61" t="s">
        <v>460</v>
      </c>
      <c r="B3" s="61"/>
      <c r="C3" s="61"/>
      <c r="D3" s="17"/>
      <c r="E3" s="17"/>
    </row>
    <row r="4" spans="1:8">
      <c r="A4" s="15" t="s">
        <v>429</v>
      </c>
      <c r="B4" t="s">
        <v>457</v>
      </c>
      <c r="C4" s="35" t="s">
        <v>458</v>
      </c>
      <c r="E4" s="41"/>
    </row>
    <row r="5" spans="1:8">
      <c r="A5" s="16" t="s">
        <v>21</v>
      </c>
      <c r="B5">
        <v>130</v>
      </c>
      <c r="C5" s="35">
        <v>3580.1846153846154</v>
      </c>
    </row>
    <row r="6" spans="1:8">
      <c r="A6" s="16" t="s">
        <v>377</v>
      </c>
      <c r="B6">
        <v>67</v>
      </c>
      <c r="C6" s="35">
        <v>3637.0149253731342</v>
      </c>
    </row>
    <row r="7" spans="1:8">
      <c r="A7" s="16" t="s">
        <v>42</v>
      </c>
      <c r="B7">
        <v>143</v>
      </c>
      <c r="C7" s="35">
        <v>3536.0629370629372</v>
      </c>
    </row>
    <row r="8" spans="1:8">
      <c r="A8" s="16" t="s">
        <v>45</v>
      </c>
      <c r="B8">
        <v>109</v>
      </c>
      <c r="C8" s="35">
        <v>3457.6422018348626</v>
      </c>
    </row>
    <row r="9" spans="1:8">
      <c r="A9" s="16" t="s">
        <v>378</v>
      </c>
      <c r="B9">
        <v>34</v>
      </c>
      <c r="C9" s="35">
        <v>3615.0882352941176</v>
      </c>
    </row>
    <row r="10" spans="1:8">
      <c r="A10" s="16" t="s">
        <v>406</v>
      </c>
      <c r="B10">
        <v>483</v>
      </c>
      <c r="C10" s="35">
        <v>3549.8074534161492</v>
      </c>
    </row>
    <row r="12" spans="1:8">
      <c r="A12" s="72" t="s">
        <v>462</v>
      </c>
      <c r="B12" s="76"/>
      <c r="C12" s="76"/>
      <c r="D12" s="76"/>
      <c r="E12" s="76"/>
      <c r="F12" s="76"/>
      <c r="G12" s="76"/>
    </row>
    <row r="14" spans="1:8">
      <c r="A14" s="61" t="s">
        <v>461</v>
      </c>
      <c r="B14" s="61"/>
      <c r="C14" s="61"/>
      <c r="D14" s="61"/>
      <c r="E14" s="61"/>
    </row>
    <row r="15" spans="1:8">
      <c r="A15" s="15" t="s">
        <v>463</v>
      </c>
      <c r="B15" s="15" t="s">
        <v>464</v>
      </c>
    </row>
    <row r="16" spans="1:8">
      <c r="A16" s="15" t="s">
        <v>3</v>
      </c>
      <c r="B16" t="s">
        <v>14</v>
      </c>
      <c r="C16" t="s">
        <v>24</v>
      </c>
      <c r="D16" t="s">
        <v>31</v>
      </c>
      <c r="E16" t="s">
        <v>406</v>
      </c>
    </row>
    <row r="17" spans="1:9">
      <c r="A17" t="s">
        <v>57</v>
      </c>
      <c r="D17">
        <v>105783</v>
      </c>
      <c r="E17">
        <v>105783</v>
      </c>
    </row>
    <row r="18" spans="1:9">
      <c r="A18" t="s">
        <v>25</v>
      </c>
      <c r="B18">
        <v>75464</v>
      </c>
      <c r="C18">
        <v>317039</v>
      </c>
      <c r="E18">
        <v>392503</v>
      </c>
    </row>
    <row r="19" spans="1:9">
      <c r="A19" t="s">
        <v>15</v>
      </c>
      <c r="B19">
        <v>226112</v>
      </c>
      <c r="C19">
        <v>210331</v>
      </c>
      <c r="D19">
        <v>122913</v>
      </c>
      <c r="E19">
        <v>559356</v>
      </c>
    </row>
    <row r="20" spans="1:9">
      <c r="A20" t="s">
        <v>406</v>
      </c>
      <c r="B20">
        <v>301576</v>
      </c>
      <c r="C20">
        <v>527370</v>
      </c>
      <c r="D20">
        <v>228696</v>
      </c>
      <c r="E20">
        <v>1057642</v>
      </c>
    </row>
    <row r="23" spans="1:9">
      <c r="A23" s="72" t="s">
        <v>465</v>
      </c>
      <c r="B23" s="73"/>
      <c r="C23" s="73"/>
      <c r="D23" s="73"/>
      <c r="E23" s="73"/>
      <c r="F23" s="73"/>
      <c r="G23" s="73"/>
      <c r="H23" s="73"/>
      <c r="I23" s="73"/>
    </row>
    <row r="26" spans="1:9">
      <c r="A26" s="43" t="s">
        <v>466</v>
      </c>
      <c r="B26" s="40"/>
      <c r="C26" s="40"/>
      <c r="D26" s="40"/>
      <c r="E26" s="40"/>
      <c r="F26" s="40"/>
      <c r="G26" s="40"/>
    </row>
    <row r="28" spans="1:9">
      <c r="A28" s="44" t="s">
        <v>1</v>
      </c>
      <c r="B28" s="44" t="s">
        <v>467</v>
      </c>
      <c r="C28" s="44" t="s">
        <v>423</v>
      </c>
      <c r="D28" s="44" t="s">
        <v>468</v>
      </c>
      <c r="E28" s="44" t="s">
        <v>435</v>
      </c>
      <c r="F28" s="44" t="s">
        <v>469</v>
      </c>
      <c r="G28" s="40"/>
    </row>
    <row r="29" spans="1:9">
      <c r="A29" s="40" t="s">
        <v>24</v>
      </c>
      <c r="B29" s="40" t="s">
        <v>25</v>
      </c>
      <c r="C29" s="40">
        <v>9.64</v>
      </c>
      <c r="D29" s="40">
        <v>3127.6</v>
      </c>
      <c r="E29" s="40">
        <v>87</v>
      </c>
      <c r="F29" s="42" t="s">
        <v>471</v>
      </c>
      <c r="G29" s="40"/>
    </row>
    <row r="30" spans="1:9">
      <c r="A30" s="40" t="s">
        <v>14</v>
      </c>
      <c r="B30" s="40" t="s">
        <v>25</v>
      </c>
      <c r="C30" s="40">
        <v>9.5500000000000007</v>
      </c>
      <c r="D30" s="40">
        <v>2687.6</v>
      </c>
      <c r="E30" s="40">
        <v>23</v>
      </c>
      <c r="F30" s="42" t="s">
        <v>472</v>
      </c>
      <c r="G30" s="40"/>
    </row>
    <row r="31" spans="1:9">
      <c r="A31" s="40" t="s">
        <v>470</v>
      </c>
      <c r="B31" s="40" t="s">
        <v>57</v>
      </c>
      <c r="C31" s="40">
        <v>9.01</v>
      </c>
      <c r="D31" s="40">
        <v>3099</v>
      </c>
      <c r="E31" s="40">
        <v>29</v>
      </c>
      <c r="F31" s="42" t="s">
        <v>473</v>
      </c>
      <c r="G31" s="40"/>
    </row>
    <row r="34" spans="1:11">
      <c r="A34" s="74" t="s">
        <v>474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</row>
  </sheetData>
  <mergeCells count="6">
    <mergeCell ref="A23:I23"/>
    <mergeCell ref="A34:K34"/>
    <mergeCell ref="A2:H2"/>
    <mergeCell ref="A3:C3"/>
    <mergeCell ref="A12:G12"/>
    <mergeCell ref="A14:E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858B-F23D-4544-AC8F-BDBADA151DC5}">
  <dimension ref="A1:L53"/>
  <sheetViews>
    <sheetView zoomScale="71" zoomScaleNormal="80" workbookViewId="0">
      <selection activeCell="H47" sqref="H47"/>
    </sheetView>
  </sheetViews>
  <sheetFormatPr defaultRowHeight="14.4"/>
  <cols>
    <col min="1" max="1" width="17.88671875" customWidth="1"/>
    <col min="2" max="2" width="23.5546875" bestFit="1" customWidth="1"/>
    <col min="3" max="3" width="21.6640625" bestFit="1" customWidth="1"/>
    <col min="4" max="4" width="20.33203125" customWidth="1"/>
    <col min="5" max="5" width="24.44140625" bestFit="1" customWidth="1"/>
    <col min="6" max="6" width="20.109375" bestFit="1" customWidth="1"/>
    <col min="7" max="7" width="14.33203125" bestFit="1" customWidth="1"/>
    <col min="8" max="8" width="14.88671875" bestFit="1" customWidth="1"/>
    <col min="9" max="9" width="12.77734375" style="55" bestFit="1" customWidth="1"/>
    <col min="10" max="10" width="27.88671875" style="13" bestFit="1" customWidth="1"/>
    <col min="11" max="11" width="16.33203125" style="13" bestFit="1" customWidth="1"/>
    <col min="12" max="12" width="13.77734375" bestFit="1" customWidth="1"/>
  </cols>
  <sheetData>
    <row r="1" spans="1:10" ht="18">
      <c r="A1" s="59" t="s">
        <v>475</v>
      </c>
      <c r="B1" s="60"/>
      <c r="C1" s="60"/>
      <c r="D1" s="60"/>
      <c r="E1" s="60"/>
      <c r="F1" s="60"/>
      <c r="G1" s="60"/>
      <c r="H1" s="60"/>
      <c r="I1" s="60"/>
      <c r="J1" s="60"/>
    </row>
    <row r="3" spans="1:10">
      <c r="A3" s="61" t="s">
        <v>476</v>
      </c>
      <c r="B3" s="61"/>
      <c r="C3" s="61"/>
      <c r="D3" s="61"/>
      <c r="E3" s="61"/>
      <c r="F3" s="61"/>
      <c r="G3" s="61"/>
      <c r="H3" s="61"/>
    </row>
    <row r="4" spans="1:10">
      <c r="A4" s="15" t="s">
        <v>477</v>
      </c>
      <c r="B4" t="s">
        <v>433</v>
      </c>
      <c r="C4" t="s">
        <v>480</v>
      </c>
      <c r="D4" t="s">
        <v>434</v>
      </c>
      <c r="E4" t="s">
        <v>432</v>
      </c>
      <c r="F4" s="35" t="s">
        <v>478</v>
      </c>
      <c r="G4" s="35" t="s">
        <v>479</v>
      </c>
      <c r="H4" s="35" t="s">
        <v>421</v>
      </c>
    </row>
    <row r="5" spans="1:10">
      <c r="A5" s="16" t="s">
        <v>18</v>
      </c>
      <c r="B5">
        <v>825443</v>
      </c>
      <c r="C5">
        <v>65910</v>
      </c>
      <c r="D5">
        <v>4647</v>
      </c>
      <c r="E5">
        <v>77499</v>
      </c>
      <c r="F5" s="35">
        <v>37520.13636363636</v>
      </c>
      <c r="G5" s="35">
        <v>2995.909090909091</v>
      </c>
      <c r="H5" s="35">
        <v>211.22727272727272</v>
      </c>
    </row>
    <row r="6" spans="1:10">
      <c r="A6" s="16" t="s">
        <v>22</v>
      </c>
      <c r="B6">
        <v>537950</v>
      </c>
      <c r="C6">
        <v>43740</v>
      </c>
      <c r="D6">
        <v>2836</v>
      </c>
      <c r="E6">
        <v>50687</v>
      </c>
      <c r="F6" s="35">
        <v>41380.769230769234</v>
      </c>
      <c r="G6" s="35">
        <v>3364.6153846153848</v>
      </c>
      <c r="H6" s="35">
        <v>218.15384615384616</v>
      </c>
    </row>
    <row r="7" spans="1:10">
      <c r="A7" s="16" t="s">
        <v>59</v>
      </c>
      <c r="B7">
        <v>720545</v>
      </c>
      <c r="C7">
        <v>52325</v>
      </c>
      <c r="D7">
        <v>3324</v>
      </c>
      <c r="E7">
        <v>61565</v>
      </c>
      <c r="F7" s="35">
        <v>40030.277777777781</v>
      </c>
      <c r="G7" s="35">
        <v>2906.9444444444443</v>
      </c>
      <c r="H7" s="35">
        <v>184.66666666666666</v>
      </c>
    </row>
    <row r="8" spans="1:10">
      <c r="A8" s="16" t="s">
        <v>55</v>
      </c>
      <c r="B8">
        <v>750568</v>
      </c>
      <c r="C8">
        <v>56917</v>
      </c>
      <c r="D8">
        <v>3360</v>
      </c>
      <c r="E8">
        <v>66315</v>
      </c>
      <c r="F8" s="35">
        <v>41698.222222222219</v>
      </c>
      <c r="G8" s="35">
        <v>3162.0555555555557</v>
      </c>
      <c r="H8" s="35">
        <v>186.66666666666666</v>
      </c>
    </row>
    <row r="9" spans="1:10">
      <c r="A9" s="16" t="s">
        <v>406</v>
      </c>
      <c r="B9">
        <v>2834506</v>
      </c>
      <c r="C9">
        <v>218892</v>
      </c>
      <c r="D9">
        <v>14167</v>
      </c>
      <c r="E9">
        <v>256066</v>
      </c>
      <c r="F9" s="35">
        <v>39922.619718309856</v>
      </c>
      <c r="G9" s="35">
        <v>3082.9859154929577</v>
      </c>
      <c r="H9" s="35">
        <v>199.53521126760563</v>
      </c>
    </row>
    <row r="11" spans="1:10">
      <c r="A11" s="29"/>
      <c r="B11" s="29"/>
      <c r="C11" s="29"/>
      <c r="D11" s="29"/>
      <c r="E11" s="29"/>
      <c r="F11" s="29"/>
      <c r="G11" s="29"/>
      <c r="H11" s="29"/>
    </row>
    <row r="19" spans="1:12">
      <c r="F19" s="61" t="s">
        <v>481</v>
      </c>
      <c r="G19" s="61"/>
      <c r="H19" s="61"/>
      <c r="I19" s="61"/>
      <c r="J19" s="61"/>
      <c r="K19" s="61"/>
    </row>
    <row r="21" spans="1:12">
      <c r="F21" s="52" t="s">
        <v>561</v>
      </c>
      <c r="G21" s="52" t="s">
        <v>562</v>
      </c>
      <c r="H21" s="52" t="s">
        <v>563</v>
      </c>
      <c r="I21" s="56" t="s">
        <v>564</v>
      </c>
      <c r="J21" s="57" t="s">
        <v>565</v>
      </c>
      <c r="K21" s="57" t="s">
        <v>566</v>
      </c>
      <c r="L21" s="57" t="s">
        <v>425</v>
      </c>
    </row>
    <row r="22" spans="1:12">
      <c r="F22" s="53" t="s">
        <v>18</v>
      </c>
      <c r="G22" s="54">
        <v>45667</v>
      </c>
      <c r="H22" s="54">
        <v>45698</v>
      </c>
      <c r="I22" s="55">
        <f>IFERROR(
AVERAGEIFS(Posts_clean!N:N,
Posts_clean!C:C, "&gt;=" &amp; G22-30,
Posts_clean!C:C, "&lt;" &amp; G22),
0)</f>
        <v>0.10086311618757582</v>
      </c>
      <c r="J22" s="13">
        <f>IFERROR(
AVERAGEIFS(Posts_clean!N:N,
Posts_clean!C:C, "&gt;=" &amp; G22,
Posts_clean!C:C, "&lt;=" &amp; H22),
0)</f>
        <v>0.10541160412718438</v>
      </c>
      <c r="K22" s="13">
        <f>IF(I22=0,0,(J22-I22)/I22)</f>
        <v>4.5095651527855905E-2</v>
      </c>
      <c r="L22" s="58"/>
    </row>
    <row r="23" spans="1:12">
      <c r="F23" s="53" t="s">
        <v>55</v>
      </c>
      <c r="G23" s="54">
        <v>45627</v>
      </c>
      <c r="H23" s="54">
        <v>45657</v>
      </c>
      <c r="I23" s="55">
        <f>IFERROR(
AVERAGEIFS(Posts_clean!N:N,
Posts_clean!C:C, "&gt;=" &amp; G23-30,
Posts_clean!C:C, "&lt;" &amp; G23),
0)</f>
        <v>9.2680818872661358E-2</v>
      </c>
      <c r="J23" s="13">
        <f>IFERROR(
AVERAGEIFS(Posts_clean!N:N,
Posts_clean!C:C, "&gt;=" &amp; G23,
Posts_clean!C:C, "&lt;=" &amp; H23),
0)</f>
        <v>9.9294724623054248E-2</v>
      </c>
      <c r="K23" s="13">
        <f t="shared" ref="K23:K25" si="0">IF(I23=0,0,(J23-I23)/I23)</f>
        <v>7.1362185086863053E-2</v>
      </c>
      <c r="L23" s="58"/>
    </row>
    <row r="24" spans="1:12">
      <c r="F24" s="53" t="s">
        <v>59</v>
      </c>
      <c r="G24" s="54">
        <v>45458</v>
      </c>
      <c r="H24" s="54">
        <v>45488</v>
      </c>
      <c r="I24" s="55">
        <f>IFERROR(
AVERAGEIFS(Posts_clean!N:N,
Posts_clean!C:C, "&gt;=" &amp; G24-30,
Posts_clean!C:C, "&lt;" &amp; G24),
0)</f>
        <v>7.7477551774674469E-2</v>
      </c>
      <c r="J24" s="13">
        <f>IFERROR(
AVERAGEIFS(Posts_clean!N:N,
Posts_clean!C:C, "&gt;=" &amp; G24,
Posts_clean!C:C, "&lt;=" &amp; H24),
0)</f>
        <v>9.67495057607137E-2</v>
      </c>
      <c r="K24" s="13">
        <f t="shared" si="0"/>
        <v>0.24874242338073935</v>
      </c>
      <c r="L24" s="58"/>
    </row>
    <row r="25" spans="1:12">
      <c r="F25" s="53" t="s">
        <v>22</v>
      </c>
      <c r="G25" s="54">
        <v>45717</v>
      </c>
      <c r="H25" s="54">
        <v>45747</v>
      </c>
      <c r="I25" s="55">
        <f>IFERROR(
AVERAGEIFS(Posts_clean!N:N,
Posts_clean!C:C, "&gt;=" &amp; G25-30,
Posts_clean!C:C, "&lt;" &amp; G25),
0)</f>
        <v>0.11058335030833821</v>
      </c>
      <c r="J25" s="13">
        <f>IFERROR(
AVERAGEIFS(Posts_clean!N:N,
Posts_clean!C:C, "&gt;=" &amp; G25,
Posts_clean!C:C, "&lt;=" &amp; H25),
0)</f>
        <v>0.10264545756473814</v>
      </c>
      <c r="K25" s="13">
        <f t="shared" si="0"/>
        <v>-7.1781988169710376E-2</v>
      </c>
      <c r="L25" s="58"/>
    </row>
    <row r="29" spans="1:12" ht="18">
      <c r="A29" s="59" t="s">
        <v>572</v>
      </c>
      <c r="B29" s="60"/>
      <c r="C29" s="60"/>
      <c r="D29" s="60"/>
      <c r="E29" s="60"/>
      <c r="F29" s="60"/>
      <c r="G29" s="60"/>
      <c r="H29" s="60"/>
      <c r="I29" s="60"/>
      <c r="J29" s="60"/>
    </row>
    <row r="31" spans="1:12">
      <c r="A31" s="61" t="s">
        <v>571</v>
      </c>
      <c r="B31" s="61"/>
      <c r="C31" s="61"/>
      <c r="D31" s="61"/>
      <c r="E31" s="61"/>
      <c r="F31" s="61"/>
    </row>
    <row r="32" spans="1:12">
      <c r="A32" s="15" t="s">
        <v>561</v>
      </c>
      <c r="B32" t="s">
        <v>485</v>
      </c>
      <c r="C32" t="s">
        <v>567</v>
      </c>
      <c r="D32" s="29" t="s">
        <v>568</v>
      </c>
      <c r="E32" s="78" t="s">
        <v>569</v>
      </c>
      <c r="F32" t="s">
        <v>413</v>
      </c>
    </row>
    <row r="33" spans="1:7">
      <c r="A33" s="16" t="s">
        <v>18</v>
      </c>
      <c r="B33" s="77">
        <v>77499</v>
      </c>
      <c r="C33" s="35">
        <f>AVERAGEIF(Posts_clean!Q:Q, "ChillVibes", Posts_clean!N:N)</f>
        <v>0.10541160412718438</v>
      </c>
      <c r="D33">
        <v>200000</v>
      </c>
      <c r="E33" s="35">
        <f>B33/D33</f>
        <v>0.38749499999999998</v>
      </c>
      <c r="F33">
        <f t="shared" ref="F33:F36" si="1">_xlfn.RANK.EQ(E33,$E$33:$E$36,0)</f>
        <v>1</v>
      </c>
    </row>
    <row r="34" spans="1:7">
      <c r="A34" s="16" t="s">
        <v>22</v>
      </c>
      <c r="B34" s="77">
        <v>50687</v>
      </c>
      <c r="C34" s="35">
        <f>AVERAGEIF(Posts_clean!Q:Q, "IndieWave", Posts_clean!N:N)</f>
        <v>0.10264545756473814</v>
      </c>
      <c r="D34">
        <v>160000</v>
      </c>
      <c r="E34" s="35">
        <f t="shared" ref="E34:E36" si="2">B34/D34</f>
        <v>0.31679374999999999</v>
      </c>
      <c r="F34">
        <f t="shared" si="1"/>
        <v>3</v>
      </c>
    </row>
    <row r="35" spans="1:7">
      <c r="A35" s="16" t="s">
        <v>59</v>
      </c>
      <c r="B35" s="77">
        <v>61565</v>
      </c>
      <c r="C35" s="35">
        <f>AVERAGEIF(Posts_clean!Q:Q, "SummerBeats", Posts_clean!N:N)</f>
        <v>9.67495057607137E-2</v>
      </c>
      <c r="D35">
        <v>175000</v>
      </c>
      <c r="E35" s="35">
        <f t="shared" si="2"/>
        <v>0.3518</v>
      </c>
      <c r="F35">
        <f t="shared" si="1"/>
        <v>2</v>
      </c>
    </row>
    <row r="36" spans="1:7">
      <c r="A36" s="16" t="s">
        <v>55</v>
      </c>
      <c r="B36" s="77">
        <v>66315</v>
      </c>
      <c r="C36" s="35">
        <f>AVERAGEIF(Posts_clean!Q:Q, "Wrapped2024", Posts_clean!N:N)</f>
        <v>9.9294724623054248E-2</v>
      </c>
      <c r="D36">
        <v>225000</v>
      </c>
      <c r="E36" s="35">
        <f t="shared" si="2"/>
        <v>0.29473333333333335</v>
      </c>
      <c r="F36">
        <f t="shared" si="1"/>
        <v>4</v>
      </c>
    </row>
    <row r="37" spans="1:7">
      <c r="A37" s="16" t="s">
        <v>406</v>
      </c>
      <c r="B37" s="77">
        <v>256066</v>
      </c>
      <c r="C37" s="35">
        <f>SUM(C33:C36)</f>
        <v>0.40410129207569045</v>
      </c>
      <c r="D37">
        <f>SUM(D33:D36)</f>
        <v>760000</v>
      </c>
      <c r="E37" s="35"/>
    </row>
    <row r="40" spans="1:7">
      <c r="A40" s="81" t="s">
        <v>570</v>
      </c>
      <c r="B40" s="81"/>
      <c r="C40" s="81"/>
      <c r="D40" s="81"/>
      <c r="E40" s="81"/>
      <c r="F40" s="81"/>
      <c r="G40" s="81"/>
    </row>
    <row r="44" spans="1:7">
      <c r="A44" s="61" t="s">
        <v>573</v>
      </c>
      <c r="B44" s="61"/>
      <c r="C44" s="61"/>
    </row>
    <row r="46" spans="1:7">
      <c r="A46" s="5" t="s">
        <v>12</v>
      </c>
      <c r="B46" s="48" t="s">
        <v>347</v>
      </c>
      <c r="C46" s="48" t="s">
        <v>348</v>
      </c>
      <c r="D46" s="79" t="s">
        <v>574</v>
      </c>
      <c r="E46" s="80" t="s">
        <v>413</v>
      </c>
    </row>
    <row r="47" spans="1:7">
      <c r="A47" s="6" t="s">
        <v>59</v>
      </c>
      <c r="B47" s="49">
        <v>45458</v>
      </c>
      <c r="C47" s="49">
        <v>45488</v>
      </c>
      <c r="D47" cm="1">
        <f t="array" ref="D47">SUMPRODUCT((Engagement_Summary_clean!A2:A201&gt;=DATE(2024,6,15))*
(Engagement_Summary_clean!A2:A201&lt;=DATE(2024,7,15))*
Engagement_Summary_clean!C2:C201)</f>
        <v>16066</v>
      </c>
      <c r="E47">
        <f>_xlfn.RANK.EQ(D47,$D$47:$D$50,0)</f>
        <v>1</v>
      </c>
    </row>
    <row r="48" spans="1:7">
      <c r="A48" s="6" t="s">
        <v>22</v>
      </c>
      <c r="B48" s="49">
        <v>45717</v>
      </c>
      <c r="C48" s="49">
        <v>45747</v>
      </c>
      <c r="D48" cm="1">
        <f t="array" ref="D48">SUMPRODUCT((Engagement_Summary_clean!A2:A201&gt;=DATE(2025,3,1))*
(Engagement_Summary_clean!A2:A201&lt;=DATE(2025,3,31))*
Engagement_Summary_clean!C2:C201)</f>
        <v>15065</v>
      </c>
      <c r="E48">
        <f t="shared" ref="E48:E50" si="3">_xlfn.RANK.EQ(D48,$D$47:$D$50,0)</f>
        <v>2</v>
      </c>
    </row>
    <row r="49" spans="1:7">
      <c r="A49" s="6" t="s">
        <v>55</v>
      </c>
      <c r="B49" s="49">
        <v>45627</v>
      </c>
      <c r="C49" s="49">
        <v>45657</v>
      </c>
      <c r="D49" cm="1">
        <f t="array" ref="D49">SUMPRODUCT((Engagement_Summary_clean!A2:A201&gt;=DATE(2024,12,1))*
(Engagement_Summary_clean!A2:A201&lt;=DATE(2024,12,31))*
Engagement_Summary_clean!C2:C201)</f>
        <v>13891</v>
      </c>
      <c r="E49">
        <f t="shared" si="3"/>
        <v>3</v>
      </c>
    </row>
    <row r="50" spans="1:7">
      <c r="A50" s="6" t="s">
        <v>18</v>
      </c>
      <c r="B50" s="49">
        <v>45667</v>
      </c>
      <c r="C50" s="49">
        <v>45698</v>
      </c>
      <c r="D50" cm="1">
        <f t="array" ref="D50">SUMPRODUCT((Engagement_Summary_clean!A2:A201&gt;=DATE(2025,1,10))*
(Engagement_Summary_clean!A2:A201&lt;=DATE(2025,2,10))*
Engagement_Summary_clean!C2:C201)</f>
        <v>12594</v>
      </c>
      <c r="E50">
        <f t="shared" si="3"/>
        <v>4</v>
      </c>
    </row>
    <row r="53" spans="1:7">
      <c r="A53" s="81" t="s">
        <v>575</v>
      </c>
      <c r="B53" s="81"/>
      <c r="C53" s="81"/>
      <c r="D53" s="81"/>
      <c r="E53" s="81"/>
      <c r="F53" s="81"/>
      <c r="G53" s="81"/>
    </row>
  </sheetData>
  <sortState xmlns:xlrd2="http://schemas.microsoft.com/office/spreadsheetml/2017/richdata2" ref="A47:D50">
    <sortCondition descending="1" ref="D47:D50"/>
  </sortState>
  <mergeCells count="8">
    <mergeCell ref="A44:C44"/>
    <mergeCell ref="A53:G53"/>
    <mergeCell ref="A1:J1"/>
    <mergeCell ref="A3:H3"/>
    <mergeCell ref="F19:K19"/>
    <mergeCell ref="A29:J29"/>
    <mergeCell ref="A40:G40"/>
    <mergeCell ref="A31:F31"/>
  </mergeCells>
  <pageMargins left="0.7" right="0.7" top="0.75" bottom="0.75" header="0.3" footer="0.3"/>
  <drawing r:id="rId3"/>
  <tableParts count="3"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5E84-F40B-4495-9B62-3FF586B6744A}">
  <dimension ref="A1:W275"/>
  <sheetViews>
    <sheetView tabSelected="1" zoomScale="34" zoomScaleNormal="57" workbookViewId="0">
      <selection activeCell="D76" sqref="D76"/>
    </sheetView>
  </sheetViews>
  <sheetFormatPr defaultRowHeight="14.4"/>
  <cols>
    <col min="1" max="1" width="12.88671875" bestFit="1" customWidth="1"/>
    <col min="2" max="2" width="19.109375" bestFit="1" customWidth="1"/>
    <col min="3" max="3" width="21.44140625" bestFit="1" customWidth="1"/>
    <col min="4" max="4" width="23.33203125" bestFit="1" customWidth="1"/>
    <col min="8" max="8" width="10.44140625" bestFit="1" customWidth="1"/>
    <col min="9" max="9" width="21.88671875" bestFit="1" customWidth="1"/>
    <col min="10" max="10" width="24" customWidth="1"/>
    <col min="14" max="14" width="10.44140625" customWidth="1"/>
    <col min="15" max="15" width="25" customWidth="1"/>
  </cols>
  <sheetData>
    <row r="1" spans="1:18">
      <c r="A1" s="83" t="s">
        <v>487</v>
      </c>
      <c r="B1" s="83"/>
      <c r="C1" s="83"/>
      <c r="D1" s="83"/>
      <c r="E1" s="83"/>
      <c r="H1" s="82" t="s">
        <v>577</v>
      </c>
      <c r="I1" s="82" t="s">
        <v>578</v>
      </c>
      <c r="J1" s="82" t="s">
        <v>579</v>
      </c>
    </row>
    <row r="2" spans="1:18">
      <c r="A2" s="15" t="s">
        <v>482</v>
      </c>
      <c r="B2" t="s">
        <v>488</v>
      </c>
      <c r="C2" t="s">
        <v>442</v>
      </c>
      <c r="D2" t="s">
        <v>576</v>
      </c>
      <c r="H2" s="16" t="s">
        <v>496</v>
      </c>
      <c r="I2" s="77">
        <v>2337</v>
      </c>
      <c r="L2" s="84" t="s">
        <v>585</v>
      </c>
      <c r="M2" s="84"/>
      <c r="N2" s="84"/>
      <c r="O2" s="84"/>
      <c r="P2" s="84"/>
      <c r="Q2" s="84"/>
      <c r="R2" s="84"/>
    </row>
    <row r="3" spans="1:18">
      <c r="A3" s="16" t="s">
        <v>514</v>
      </c>
      <c r="B3" s="77">
        <v>3576</v>
      </c>
      <c r="C3" s="77">
        <v>348877</v>
      </c>
      <c r="D3" s="77">
        <v>22.689999999999998</v>
      </c>
      <c r="H3" s="16" t="s">
        <v>498</v>
      </c>
      <c r="I3" s="77">
        <v>3419</v>
      </c>
    </row>
    <row r="4" spans="1:18">
      <c r="A4" s="16" t="s">
        <v>529</v>
      </c>
      <c r="B4" s="77">
        <v>3569</v>
      </c>
      <c r="C4" s="77">
        <v>327012</v>
      </c>
      <c r="D4" s="77">
        <v>19.86</v>
      </c>
      <c r="H4" s="16" t="s">
        <v>491</v>
      </c>
      <c r="I4" s="77">
        <v>2777</v>
      </c>
      <c r="J4">
        <f>AVERAGE(I2:I4)</f>
        <v>2844.3333333333335</v>
      </c>
    </row>
    <row r="5" spans="1:18">
      <c r="A5" s="16" t="s">
        <v>498</v>
      </c>
      <c r="B5" s="77">
        <v>3419</v>
      </c>
      <c r="C5" s="77">
        <v>370242</v>
      </c>
      <c r="D5" s="77">
        <v>25.689999999999998</v>
      </c>
      <c r="H5" s="16" t="s">
        <v>550</v>
      </c>
      <c r="I5" s="77">
        <v>3175</v>
      </c>
      <c r="J5">
        <f t="shared" ref="J5:J68" si="0">AVERAGE(I3:I5)</f>
        <v>3123.6666666666665</v>
      </c>
    </row>
    <row r="6" spans="1:18">
      <c r="A6" s="16" t="s">
        <v>521</v>
      </c>
      <c r="B6" s="77">
        <v>3291</v>
      </c>
      <c r="C6" s="77">
        <v>340987</v>
      </c>
      <c r="D6" s="77">
        <v>20.34</v>
      </c>
      <c r="H6" s="16" t="s">
        <v>555</v>
      </c>
      <c r="I6" s="77">
        <v>2433</v>
      </c>
      <c r="J6">
        <f t="shared" si="0"/>
        <v>2795</v>
      </c>
    </row>
    <row r="7" spans="1:18">
      <c r="A7" s="16" t="s">
        <v>556</v>
      </c>
      <c r="B7" s="77">
        <v>3236</v>
      </c>
      <c r="C7" s="77">
        <v>121431</v>
      </c>
      <c r="D7" s="77">
        <v>16.47</v>
      </c>
      <c r="H7" s="16" t="s">
        <v>537</v>
      </c>
      <c r="I7" s="77">
        <v>2426</v>
      </c>
      <c r="J7">
        <f t="shared" si="0"/>
        <v>2678</v>
      </c>
    </row>
    <row r="8" spans="1:18">
      <c r="A8" s="16" t="s">
        <v>517</v>
      </c>
      <c r="B8" s="77">
        <v>3216</v>
      </c>
      <c r="C8" s="77">
        <v>345659</v>
      </c>
      <c r="D8" s="77">
        <v>17.71</v>
      </c>
      <c r="H8" s="16" t="s">
        <v>524</v>
      </c>
      <c r="I8" s="77">
        <v>3155</v>
      </c>
      <c r="J8">
        <f t="shared" si="0"/>
        <v>2671.3333333333335</v>
      </c>
    </row>
    <row r="9" spans="1:18">
      <c r="A9" s="16" t="s">
        <v>550</v>
      </c>
      <c r="B9" s="77">
        <v>3175</v>
      </c>
      <c r="C9" s="77">
        <v>250428</v>
      </c>
      <c r="D9" s="77">
        <v>18.25</v>
      </c>
      <c r="H9" s="16" t="s">
        <v>548</v>
      </c>
      <c r="I9" s="77">
        <v>2369</v>
      </c>
      <c r="J9">
        <f t="shared" si="0"/>
        <v>2650</v>
      </c>
    </row>
    <row r="10" spans="1:18">
      <c r="A10" s="16" t="s">
        <v>524</v>
      </c>
      <c r="B10" s="77">
        <v>3155</v>
      </c>
      <c r="C10" s="77">
        <v>340121</v>
      </c>
      <c r="D10" s="77">
        <v>25.060000000000002</v>
      </c>
      <c r="H10" s="16" t="s">
        <v>493</v>
      </c>
      <c r="I10" s="77">
        <v>2281</v>
      </c>
      <c r="J10">
        <f t="shared" si="0"/>
        <v>2601.6666666666665</v>
      </c>
    </row>
    <row r="11" spans="1:18">
      <c r="A11" s="16" t="s">
        <v>495</v>
      </c>
      <c r="B11" s="77">
        <v>3151</v>
      </c>
      <c r="C11" s="77">
        <v>374952</v>
      </c>
      <c r="D11" s="77">
        <v>21.910000000000004</v>
      </c>
      <c r="H11" s="16" t="s">
        <v>494</v>
      </c>
      <c r="I11" s="77">
        <v>2132</v>
      </c>
      <c r="J11">
        <f t="shared" si="0"/>
        <v>2260.6666666666665</v>
      </c>
    </row>
    <row r="12" spans="1:18">
      <c r="A12" s="16" t="s">
        <v>544</v>
      </c>
      <c r="B12" s="77">
        <v>3072</v>
      </c>
      <c r="C12" s="77">
        <v>276722</v>
      </c>
      <c r="D12" s="77">
        <v>22.85</v>
      </c>
      <c r="H12" s="16" t="s">
        <v>533</v>
      </c>
      <c r="I12" s="77">
        <v>2693</v>
      </c>
      <c r="J12">
        <f t="shared" si="0"/>
        <v>2368.6666666666665</v>
      </c>
    </row>
    <row r="13" spans="1:18">
      <c r="A13" s="16" t="s">
        <v>520</v>
      </c>
      <c r="B13" s="77">
        <v>2909</v>
      </c>
      <c r="C13" s="77">
        <v>341016</v>
      </c>
      <c r="D13" s="77">
        <v>20.130000000000003</v>
      </c>
      <c r="H13" s="16" t="s">
        <v>544</v>
      </c>
      <c r="I13" s="77">
        <v>3072</v>
      </c>
      <c r="J13">
        <f t="shared" si="0"/>
        <v>2632.3333333333335</v>
      </c>
    </row>
    <row r="14" spans="1:18">
      <c r="A14" s="16" t="s">
        <v>536</v>
      </c>
      <c r="B14" s="77">
        <v>2794</v>
      </c>
      <c r="C14" s="77">
        <v>306508</v>
      </c>
      <c r="D14" s="77">
        <v>23.18</v>
      </c>
      <c r="H14" s="16" t="s">
        <v>510</v>
      </c>
      <c r="I14" s="77">
        <v>2300</v>
      </c>
      <c r="J14">
        <f t="shared" si="0"/>
        <v>2688.3333333333335</v>
      </c>
    </row>
    <row r="15" spans="1:18">
      <c r="A15" s="16" t="s">
        <v>554</v>
      </c>
      <c r="B15" s="77">
        <v>2792</v>
      </c>
      <c r="C15" s="77">
        <v>149916</v>
      </c>
      <c r="D15" s="77">
        <v>20.73</v>
      </c>
      <c r="H15" s="16" t="s">
        <v>546</v>
      </c>
      <c r="I15" s="77">
        <v>2450</v>
      </c>
      <c r="J15">
        <f t="shared" si="0"/>
        <v>2607.3333333333335</v>
      </c>
    </row>
    <row r="16" spans="1:18">
      <c r="A16" s="16" t="s">
        <v>504</v>
      </c>
      <c r="B16" s="77">
        <v>2785</v>
      </c>
      <c r="C16" s="77">
        <v>362441</v>
      </c>
      <c r="D16" s="77">
        <v>22.85</v>
      </c>
      <c r="H16" s="16" t="s">
        <v>507</v>
      </c>
      <c r="I16" s="77">
        <v>2502</v>
      </c>
      <c r="J16">
        <f t="shared" si="0"/>
        <v>2417.3333333333335</v>
      </c>
    </row>
    <row r="17" spans="1:23">
      <c r="A17" s="16" t="s">
        <v>552</v>
      </c>
      <c r="B17" s="77">
        <v>2781</v>
      </c>
      <c r="C17" s="77">
        <v>202234</v>
      </c>
      <c r="D17" s="77">
        <v>24.230000000000004</v>
      </c>
      <c r="H17" s="16" t="s">
        <v>501</v>
      </c>
      <c r="I17" s="77">
        <v>2630</v>
      </c>
      <c r="J17">
        <f t="shared" si="0"/>
        <v>2527.3333333333335</v>
      </c>
    </row>
    <row r="18" spans="1:23">
      <c r="A18" s="16" t="s">
        <v>491</v>
      </c>
      <c r="B18" s="77">
        <v>2777</v>
      </c>
      <c r="C18" s="77">
        <v>391621</v>
      </c>
      <c r="D18" s="77">
        <v>28.380000000000003</v>
      </c>
      <c r="H18" s="16" t="s">
        <v>497</v>
      </c>
      <c r="I18" s="77">
        <v>2162</v>
      </c>
      <c r="J18">
        <f t="shared" si="0"/>
        <v>2431.3333333333335</v>
      </c>
    </row>
    <row r="19" spans="1:23">
      <c r="A19" s="16" t="s">
        <v>545</v>
      </c>
      <c r="B19" s="77">
        <v>2763</v>
      </c>
      <c r="C19" s="77">
        <v>274567</v>
      </c>
      <c r="D19" s="77">
        <v>23.32</v>
      </c>
      <c r="H19" s="16" t="s">
        <v>504</v>
      </c>
      <c r="I19" s="77">
        <v>2785</v>
      </c>
      <c r="J19">
        <f t="shared" si="0"/>
        <v>2525.6666666666665</v>
      </c>
      <c r="N19" s="82" t="s">
        <v>577</v>
      </c>
      <c r="O19" s="82" t="s">
        <v>580</v>
      </c>
      <c r="P19" s="82" t="s">
        <v>413</v>
      </c>
    </row>
    <row r="20" spans="1:23">
      <c r="A20" s="16" t="s">
        <v>513</v>
      </c>
      <c r="B20" s="77">
        <v>2694</v>
      </c>
      <c r="C20" s="77">
        <v>350949</v>
      </c>
      <c r="D20" s="77">
        <v>15.920000000000002</v>
      </c>
      <c r="H20" s="16" t="s">
        <v>495</v>
      </c>
      <c r="I20" s="77">
        <v>3151</v>
      </c>
      <c r="J20">
        <f t="shared" si="0"/>
        <v>2699.3333333333335</v>
      </c>
      <c r="N20" s="16" t="s">
        <v>514</v>
      </c>
      <c r="O20" s="77">
        <v>3576</v>
      </c>
      <c r="P20">
        <f t="shared" ref="P20:P22" si="1">_xlfn.RANK.EQ(O20,$O$20:$O$22,0)</f>
        <v>1</v>
      </c>
    </row>
    <row r="21" spans="1:23">
      <c r="A21" s="16" t="s">
        <v>533</v>
      </c>
      <c r="B21" s="77">
        <v>2693</v>
      </c>
      <c r="C21" s="77">
        <v>318098</v>
      </c>
      <c r="D21" s="77">
        <v>23.39</v>
      </c>
      <c r="H21" s="16" t="s">
        <v>532</v>
      </c>
      <c r="I21" s="77">
        <v>2338</v>
      </c>
      <c r="J21">
        <f t="shared" si="0"/>
        <v>2758</v>
      </c>
      <c r="N21" s="16" t="s">
        <v>529</v>
      </c>
      <c r="O21" s="77">
        <v>3569</v>
      </c>
      <c r="P21">
        <f t="shared" si="1"/>
        <v>2</v>
      </c>
    </row>
    <row r="22" spans="1:23">
      <c r="A22" s="16" t="s">
        <v>553</v>
      </c>
      <c r="B22" s="77">
        <v>2693</v>
      </c>
      <c r="C22" s="77">
        <v>171670</v>
      </c>
      <c r="D22" s="77">
        <v>16.97</v>
      </c>
      <c r="H22" s="16" t="s">
        <v>531</v>
      </c>
      <c r="I22" s="77">
        <v>2670</v>
      </c>
      <c r="J22">
        <f t="shared" si="0"/>
        <v>2719.6666666666665</v>
      </c>
      <c r="N22" s="16" t="s">
        <v>498</v>
      </c>
      <c r="O22" s="77">
        <v>3419</v>
      </c>
      <c r="P22">
        <f t="shared" si="1"/>
        <v>3</v>
      </c>
    </row>
    <row r="23" spans="1:23">
      <c r="A23" s="16" t="s">
        <v>490</v>
      </c>
      <c r="B23" s="77">
        <v>2679</v>
      </c>
      <c r="C23" s="77">
        <v>397607</v>
      </c>
      <c r="D23" s="77">
        <v>18.060000000000002</v>
      </c>
      <c r="H23" s="16" t="s">
        <v>554</v>
      </c>
      <c r="I23" s="77">
        <v>2792</v>
      </c>
      <c r="J23">
        <f t="shared" si="0"/>
        <v>2600</v>
      </c>
      <c r="N23" s="84" t="s">
        <v>586</v>
      </c>
      <c r="O23" s="84"/>
      <c r="P23" s="84"/>
    </row>
    <row r="24" spans="1:23">
      <c r="A24" s="16" t="s">
        <v>531</v>
      </c>
      <c r="B24" s="77">
        <v>2670</v>
      </c>
      <c r="C24" s="77">
        <v>325325</v>
      </c>
      <c r="D24" s="77">
        <v>25.060000000000002</v>
      </c>
      <c r="H24" s="16" t="s">
        <v>535</v>
      </c>
      <c r="I24" s="77">
        <v>2181</v>
      </c>
      <c r="J24">
        <f t="shared" si="0"/>
        <v>2547.6666666666665</v>
      </c>
      <c r="L24" s="73" t="s">
        <v>582</v>
      </c>
      <c r="M24" s="73"/>
    </row>
    <row r="25" spans="1:23">
      <c r="A25" s="16" t="s">
        <v>492</v>
      </c>
      <c r="B25" s="77">
        <v>2669</v>
      </c>
      <c r="C25" s="77">
        <v>387352</v>
      </c>
      <c r="D25" s="77">
        <v>28.990000000000002</v>
      </c>
      <c r="H25" s="16" t="s">
        <v>514</v>
      </c>
      <c r="I25" s="77">
        <v>3576</v>
      </c>
      <c r="J25">
        <f t="shared" si="0"/>
        <v>2849.6666666666665</v>
      </c>
      <c r="L25" s="73" t="s">
        <v>581</v>
      </c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</row>
    <row r="26" spans="1:23">
      <c r="A26" s="16" t="s">
        <v>505</v>
      </c>
      <c r="B26" s="77">
        <v>2654</v>
      </c>
      <c r="C26" s="77">
        <v>360770</v>
      </c>
      <c r="D26" s="77">
        <v>26.310000000000002</v>
      </c>
      <c r="H26" s="16" t="s">
        <v>536</v>
      </c>
      <c r="I26" s="77">
        <v>2794</v>
      </c>
      <c r="J26">
        <f t="shared" si="0"/>
        <v>2850.3333333333335</v>
      </c>
      <c r="L26" s="79"/>
    </row>
    <row r="27" spans="1:23">
      <c r="A27" s="16" t="s">
        <v>539</v>
      </c>
      <c r="B27" s="77">
        <v>2646</v>
      </c>
      <c r="C27" s="77">
        <v>296450</v>
      </c>
      <c r="D27" s="77">
        <v>15.67</v>
      </c>
      <c r="H27" s="16" t="s">
        <v>528</v>
      </c>
      <c r="I27" s="77">
        <v>1935</v>
      </c>
      <c r="J27">
        <f t="shared" si="0"/>
        <v>2768.3333333333335</v>
      </c>
      <c r="L27" s="73" t="s">
        <v>583</v>
      </c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</row>
    <row r="28" spans="1:23">
      <c r="A28" s="16" t="s">
        <v>501</v>
      </c>
      <c r="B28" s="77">
        <v>2630</v>
      </c>
      <c r="C28" s="77">
        <v>368454</v>
      </c>
      <c r="D28" s="77">
        <v>17.259999999999998</v>
      </c>
      <c r="H28" s="16" t="s">
        <v>511</v>
      </c>
      <c r="I28" s="77">
        <v>2287</v>
      </c>
      <c r="J28">
        <f t="shared" si="0"/>
        <v>2338.6666666666665</v>
      </c>
    </row>
    <row r="29" spans="1:23">
      <c r="A29" s="16" t="s">
        <v>530</v>
      </c>
      <c r="B29" s="77">
        <v>2550</v>
      </c>
      <c r="C29" s="77">
        <v>326821</v>
      </c>
      <c r="D29" s="77">
        <v>20.23</v>
      </c>
      <c r="H29" s="16" t="s">
        <v>512</v>
      </c>
      <c r="I29" s="77">
        <v>2383</v>
      </c>
      <c r="J29">
        <f t="shared" si="0"/>
        <v>2201.6666666666665</v>
      </c>
    </row>
    <row r="30" spans="1:23">
      <c r="A30" s="16" t="s">
        <v>507</v>
      </c>
      <c r="B30" s="77">
        <v>2502</v>
      </c>
      <c r="C30" s="77">
        <v>359150</v>
      </c>
      <c r="D30" s="77">
        <v>21.22</v>
      </c>
      <c r="H30" s="16" t="s">
        <v>518</v>
      </c>
      <c r="I30" s="77">
        <v>1398</v>
      </c>
      <c r="J30">
        <f t="shared" si="0"/>
        <v>2022.6666666666667</v>
      </c>
    </row>
    <row r="31" spans="1:23">
      <c r="A31" s="16" t="s">
        <v>549</v>
      </c>
      <c r="B31" s="77">
        <v>2451</v>
      </c>
      <c r="C31" s="77">
        <v>258398</v>
      </c>
      <c r="D31" s="77">
        <v>22.9</v>
      </c>
      <c r="H31" s="16" t="s">
        <v>553</v>
      </c>
      <c r="I31" s="77">
        <v>2693</v>
      </c>
      <c r="J31">
        <f t="shared" si="0"/>
        <v>2158</v>
      </c>
    </row>
    <row r="32" spans="1:23">
      <c r="A32" s="16" t="s">
        <v>546</v>
      </c>
      <c r="B32" s="77">
        <v>2450</v>
      </c>
      <c r="C32" s="77">
        <v>271044</v>
      </c>
      <c r="D32" s="77">
        <v>20.58</v>
      </c>
      <c r="H32" s="16" t="s">
        <v>530</v>
      </c>
      <c r="I32" s="77">
        <v>2550</v>
      </c>
      <c r="J32">
        <f t="shared" si="0"/>
        <v>2213.6666666666665</v>
      </c>
    </row>
    <row r="33" spans="1:10">
      <c r="A33" s="16" t="s">
        <v>555</v>
      </c>
      <c r="B33" s="77">
        <v>2433</v>
      </c>
      <c r="C33" s="77">
        <v>128620</v>
      </c>
      <c r="D33" s="77">
        <v>26.240000000000002</v>
      </c>
      <c r="H33" s="16" t="s">
        <v>549</v>
      </c>
      <c r="I33" s="77">
        <v>2451</v>
      </c>
      <c r="J33">
        <f t="shared" si="0"/>
        <v>2564.6666666666665</v>
      </c>
    </row>
    <row r="34" spans="1:10">
      <c r="A34" s="16" t="s">
        <v>537</v>
      </c>
      <c r="B34" s="77">
        <v>2426</v>
      </c>
      <c r="C34" s="77">
        <v>300397</v>
      </c>
      <c r="D34" s="77">
        <v>14.28</v>
      </c>
      <c r="H34" s="16" t="s">
        <v>519</v>
      </c>
      <c r="I34" s="77">
        <v>2341</v>
      </c>
      <c r="J34">
        <f t="shared" si="0"/>
        <v>2447.3333333333335</v>
      </c>
    </row>
    <row r="35" spans="1:10">
      <c r="A35" s="16" t="s">
        <v>512</v>
      </c>
      <c r="B35" s="77">
        <v>2383</v>
      </c>
      <c r="C35" s="77">
        <v>351493</v>
      </c>
      <c r="D35" s="77">
        <v>20.16</v>
      </c>
      <c r="H35" s="16" t="s">
        <v>527</v>
      </c>
      <c r="I35" s="77">
        <v>1832</v>
      </c>
      <c r="J35">
        <f t="shared" si="0"/>
        <v>2208</v>
      </c>
    </row>
    <row r="36" spans="1:10">
      <c r="A36" s="16" t="s">
        <v>542</v>
      </c>
      <c r="B36" s="77">
        <v>2378</v>
      </c>
      <c r="C36" s="77">
        <v>283278</v>
      </c>
      <c r="D36" s="77">
        <v>11.46</v>
      </c>
      <c r="H36" s="16" t="s">
        <v>499</v>
      </c>
      <c r="I36" s="77">
        <v>1928</v>
      </c>
      <c r="J36">
        <f t="shared" si="0"/>
        <v>2033.6666666666667</v>
      </c>
    </row>
    <row r="37" spans="1:10">
      <c r="A37" s="16" t="s">
        <v>548</v>
      </c>
      <c r="B37" s="77">
        <v>2369</v>
      </c>
      <c r="C37" s="77">
        <v>263729</v>
      </c>
      <c r="D37" s="77">
        <v>23.259999999999998</v>
      </c>
      <c r="H37" s="16" t="s">
        <v>506</v>
      </c>
      <c r="I37" s="77">
        <v>1680</v>
      </c>
      <c r="J37">
        <f t="shared" si="0"/>
        <v>1813.3333333333333</v>
      </c>
    </row>
    <row r="38" spans="1:10">
      <c r="A38" s="16" t="s">
        <v>538</v>
      </c>
      <c r="B38" s="77">
        <v>2361</v>
      </c>
      <c r="C38" s="77">
        <v>297090</v>
      </c>
      <c r="D38" s="77">
        <v>24.509999999999998</v>
      </c>
      <c r="H38" s="16" t="s">
        <v>538</v>
      </c>
      <c r="I38" s="77">
        <v>2361</v>
      </c>
      <c r="J38">
        <f t="shared" si="0"/>
        <v>1989.6666666666667</v>
      </c>
    </row>
    <row r="39" spans="1:10">
      <c r="A39" s="16" t="s">
        <v>523</v>
      </c>
      <c r="B39" s="77">
        <v>2347</v>
      </c>
      <c r="C39" s="77">
        <v>340557</v>
      </c>
      <c r="D39" s="77">
        <v>21.84</v>
      </c>
      <c r="H39" s="16" t="s">
        <v>526</v>
      </c>
      <c r="I39" s="77">
        <v>1543</v>
      </c>
      <c r="J39">
        <f t="shared" si="0"/>
        <v>1861.3333333333333</v>
      </c>
    </row>
    <row r="40" spans="1:10">
      <c r="A40" s="16" t="s">
        <v>519</v>
      </c>
      <c r="B40" s="77">
        <v>2341</v>
      </c>
      <c r="C40" s="77">
        <v>341856</v>
      </c>
      <c r="D40" s="77">
        <v>18.52</v>
      </c>
      <c r="H40" s="16" t="s">
        <v>500</v>
      </c>
      <c r="I40" s="77">
        <v>1713</v>
      </c>
      <c r="J40">
        <f t="shared" si="0"/>
        <v>1872.3333333333333</v>
      </c>
    </row>
    <row r="41" spans="1:10">
      <c r="A41" s="16" t="s">
        <v>532</v>
      </c>
      <c r="B41" s="77">
        <v>2338</v>
      </c>
      <c r="C41" s="77">
        <v>319294</v>
      </c>
      <c r="D41" s="77">
        <v>23.08</v>
      </c>
      <c r="H41" s="16" t="s">
        <v>545</v>
      </c>
      <c r="I41" s="77">
        <v>2763</v>
      </c>
      <c r="J41">
        <f t="shared" si="0"/>
        <v>2006.3333333333333</v>
      </c>
    </row>
    <row r="42" spans="1:10">
      <c r="A42" s="16" t="s">
        <v>496</v>
      </c>
      <c r="B42" s="77">
        <v>2337</v>
      </c>
      <c r="C42" s="77">
        <v>373274</v>
      </c>
      <c r="D42" s="77">
        <v>13.66</v>
      </c>
      <c r="H42" s="16" t="s">
        <v>522</v>
      </c>
      <c r="I42" s="77">
        <v>2315</v>
      </c>
      <c r="J42">
        <f t="shared" si="0"/>
        <v>2263.6666666666665</v>
      </c>
    </row>
    <row r="43" spans="1:10">
      <c r="A43" s="16" t="s">
        <v>551</v>
      </c>
      <c r="B43" s="77">
        <v>2315</v>
      </c>
      <c r="C43" s="77">
        <v>216500</v>
      </c>
      <c r="D43" s="77">
        <v>15.940000000000001</v>
      </c>
      <c r="H43" s="16" t="s">
        <v>516</v>
      </c>
      <c r="I43" s="77">
        <v>2188</v>
      </c>
      <c r="J43">
        <f t="shared" si="0"/>
        <v>2422</v>
      </c>
    </row>
    <row r="44" spans="1:10">
      <c r="A44" s="16" t="s">
        <v>522</v>
      </c>
      <c r="B44" s="77">
        <v>2315</v>
      </c>
      <c r="C44" s="77">
        <v>340750</v>
      </c>
      <c r="D44" s="77">
        <v>21.049999999999997</v>
      </c>
      <c r="H44" s="16" t="s">
        <v>490</v>
      </c>
      <c r="I44" s="77">
        <v>2679</v>
      </c>
      <c r="J44">
        <f t="shared" si="0"/>
        <v>2394</v>
      </c>
    </row>
    <row r="45" spans="1:10">
      <c r="A45" s="16" t="s">
        <v>510</v>
      </c>
      <c r="B45" s="77">
        <v>2300</v>
      </c>
      <c r="C45" s="77">
        <v>353538</v>
      </c>
      <c r="D45" s="77">
        <v>17.3</v>
      </c>
      <c r="H45" s="16" t="s">
        <v>552</v>
      </c>
      <c r="I45" s="77">
        <v>2781</v>
      </c>
      <c r="J45">
        <f t="shared" si="0"/>
        <v>2549.3333333333335</v>
      </c>
    </row>
    <row r="46" spans="1:10">
      <c r="A46" s="16" t="s">
        <v>511</v>
      </c>
      <c r="B46" s="77">
        <v>2287</v>
      </c>
      <c r="C46" s="77">
        <v>352677</v>
      </c>
      <c r="D46" s="77">
        <v>27.54</v>
      </c>
      <c r="H46" s="16" t="s">
        <v>521</v>
      </c>
      <c r="I46" s="77">
        <v>3291</v>
      </c>
      <c r="J46">
        <f t="shared" si="0"/>
        <v>2917</v>
      </c>
    </row>
    <row r="47" spans="1:10">
      <c r="A47" s="16" t="s">
        <v>493</v>
      </c>
      <c r="B47" s="77">
        <v>2281</v>
      </c>
      <c r="C47" s="77">
        <v>380606</v>
      </c>
      <c r="D47" s="77">
        <v>19.190000000000001</v>
      </c>
      <c r="H47" s="16" t="s">
        <v>517</v>
      </c>
      <c r="I47" s="77">
        <v>3216</v>
      </c>
      <c r="J47">
        <f t="shared" si="0"/>
        <v>3096</v>
      </c>
    </row>
    <row r="48" spans="1:10">
      <c r="A48" s="16" t="s">
        <v>503</v>
      </c>
      <c r="B48" s="77">
        <v>2243</v>
      </c>
      <c r="C48" s="77">
        <v>362559</v>
      </c>
      <c r="D48" s="77">
        <v>15.56</v>
      </c>
      <c r="H48" s="16" t="s">
        <v>525</v>
      </c>
      <c r="I48" s="77">
        <v>1728</v>
      </c>
      <c r="J48">
        <f t="shared" si="0"/>
        <v>2745</v>
      </c>
    </row>
    <row r="49" spans="1:10">
      <c r="A49" s="16" t="s">
        <v>516</v>
      </c>
      <c r="B49" s="77">
        <v>2188</v>
      </c>
      <c r="C49" s="77">
        <v>345688</v>
      </c>
      <c r="D49" s="77">
        <v>17.100000000000001</v>
      </c>
      <c r="H49" s="16" t="s">
        <v>542</v>
      </c>
      <c r="I49" s="77">
        <v>2378</v>
      </c>
      <c r="J49">
        <f t="shared" si="0"/>
        <v>2440.6666666666665</v>
      </c>
    </row>
    <row r="50" spans="1:10">
      <c r="A50" s="16" t="s">
        <v>535</v>
      </c>
      <c r="B50" s="77">
        <v>2181</v>
      </c>
      <c r="C50" s="77">
        <v>308533</v>
      </c>
      <c r="D50" s="77">
        <v>14.02</v>
      </c>
      <c r="H50" s="16" t="s">
        <v>509</v>
      </c>
      <c r="I50" s="77">
        <v>2054</v>
      </c>
      <c r="J50">
        <f t="shared" si="0"/>
        <v>2053.3333333333335</v>
      </c>
    </row>
    <row r="51" spans="1:10">
      <c r="A51" s="16" t="s">
        <v>497</v>
      </c>
      <c r="B51" s="77">
        <v>2162</v>
      </c>
      <c r="C51" s="77">
        <v>371015</v>
      </c>
      <c r="D51" s="77">
        <v>21.64</v>
      </c>
      <c r="H51" s="16" t="s">
        <v>502</v>
      </c>
      <c r="I51" s="77">
        <v>1400</v>
      </c>
      <c r="J51">
        <f t="shared" si="0"/>
        <v>1944</v>
      </c>
    </row>
    <row r="52" spans="1:10">
      <c r="A52" s="16" t="s">
        <v>494</v>
      </c>
      <c r="B52" s="77">
        <v>2132</v>
      </c>
      <c r="C52" s="77">
        <v>376358</v>
      </c>
      <c r="D52" s="77">
        <v>13.240000000000002</v>
      </c>
      <c r="H52" s="16" t="s">
        <v>529</v>
      </c>
      <c r="I52" s="77">
        <v>3569</v>
      </c>
      <c r="J52">
        <f t="shared" si="0"/>
        <v>2341</v>
      </c>
    </row>
    <row r="53" spans="1:10">
      <c r="A53" s="16" t="s">
        <v>509</v>
      </c>
      <c r="B53" s="77">
        <v>2054</v>
      </c>
      <c r="C53" s="77">
        <v>353781</v>
      </c>
      <c r="D53" s="77">
        <v>21.63</v>
      </c>
      <c r="H53" s="16" t="s">
        <v>520</v>
      </c>
      <c r="I53" s="77">
        <v>2909</v>
      </c>
      <c r="J53">
        <f t="shared" si="0"/>
        <v>2626</v>
      </c>
    </row>
    <row r="54" spans="1:10">
      <c r="A54" s="16" t="s">
        <v>540</v>
      </c>
      <c r="B54" s="77">
        <v>2049</v>
      </c>
      <c r="C54" s="77">
        <v>285164</v>
      </c>
      <c r="D54" s="77">
        <v>21.78</v>
      </c>
      <c r="H54" s="16" t="s">
        <v>540</v>
      </c>
      <c r="I54" s="77">
        <v>2049</v>
      </c>
      <c r="J54">
        <f t="shared" si="0"/>
        <v>2842.3333333333335</v>
      </c>
    </row>
    <row r="55" spans="1:10">
      <c r="A55" s="16" t="s">
        <v>541</v>
      </c>
      <c r="B55" s="77">
        <v>2017</v>
      </c>
      <c r="C55" s="77">
        <v>283537</v>
      </c>
      <c r="D55" s="77">
        <v>17.47</v>
      </c>
      <c r="H55" s="16" t="s">
        <v>503</v>
      </c>
      <c r="I55" s="77">
        <v>2243</v>
      </c>
      <c r="J55">
        <f t="shared" si="0"/>
        <v>2400.3333333333335</v>
      </c>
    </row>
    <row r="56" spans="1:10">
      <c r="A56" s="16" t="s">
        <v>528</v>
      </c>
      <c r="B56" s="77">
        <v>1935</v>
      </c>
      <c r="C56" s="77">
        <v>333500</v>
      </c>
      <c r="D56" s="77">
        <v>17.510000000000002</v>
      </c>
      <c r="H56" s="16" t="s">
        <v>541</v>
      </c>
      <c r="I56" s="77">
        <v>2017</v>
      </c>
      <c r="J56">
        <f t="shared" si="0"/>
        <v>2103</v>
      </c>
    </row>
    <row r="57" spans="1:10">
      <c r="A57" s="16" t="s">
        <v>499</v>
      </c>
      <c r="B57" s="77">
        <v>1928</v>
      </c>
      <c r="C57" s="77">
        <v>368984</v>
      </c>
      <c r="D57" s="77">
        <v>16.87</v>
      </c>
      <c r="H57" s="16" t="s">
        <v>543</v>
      </c>
      <c r="I57" s="77">
        <v>1384</v>
      </c>
      <c r="J57">
        <f t="shared" si="0"/>
        <v>1881.3333333333333</v>
      </c>
    </row>
    <row r="58" spans="1:10">
      <c r="A58" s="16" t="s">
        <v>527</v>
      </c>
      <c r="B58" s="77">
        <v>1832</v>
      </c>
      <c r="C58" s="77">
        <v>333851</v>
      </c>
      <c r="D58" s="77">
        <v>18.510000000000002</v>
      </c>
      <c r="H58" s="16" t="s">
        <v>551</v>
      </c>
      <c r="I58" s="77">
        <v>2315</v>
      </c>
      <c r="J58">
        <f t="shared" si="0"/>
        <v>1905.3333333333333</v>
      </c>
    </row>
    <row r="59" spans="1:10">
      <c r="A59" s="16" t="s">
        <v>508</v>
      </c>
      <c r="B59" s="77">
        <v>1819</v>
      </c>
      <c r="C59" s="77">
        <v>354816</v>
      </c>
      <c r="D59" s="77">
        <v>21.75</v>
      </c>
      <c r="H59" s="16" t="s">
        <v>492</v>
      </c>
      <c r="I59" s="77">
        <v>2669</v>
      </c>
      <c r="J59">
        <f t="shared" si="0"/>
        <v>2122.6666666666665</v>
      </c>
    </row>
    <row r="60" spans="1:10">
      <c r="A60" s="16" t="s">
        <v>525</v>
      </c>
      <c r="B60" s="77">
        <v>1728</v>
      </c>
      <c r="C60" s="77">
        <v>338650</v>
      </c>
      <c r="D60" s="77">
        <v>20.28</v>
      </c>
      <c r="H60" s="16" t="s">
        <v>505</v>
      </c>
      <c r="I60" s="77">
        <v>2654</v>
      </c>
      <c r="J60">
        <f t="shared" si="0"/>
        <v>2546</v>
      </c>
    </row>
    <row r="61" spans="1:10">
      <c r="A61" s="16" t="s">
        <v>500</v>
      </c>
      <c r="B61" s="77">
        <v>1713</v>
      </c>
      <c r="C61" s="77">
        <v>368872</v>
      </c>
      <c r="D61" s="77">
        <v>14.65</v>
      </c>
      <c r="H61" s="16" t="s">
        <v>513</v>
      </c>
      <c r="I61" s="77">
        <v>2694</v>
      </c>
      <c r="J61">
        <f t="shared" si="0"/>
        <v>2672.3333333333335</v>
      </c>
    </row>
    <row r="62" spans="1:10">
      <c r="A62" s="16" t="s">
        <v>547</v>
      </c>
      <c r="B62" s="77">
        <v>1689</v>
      </c>
      <c r="C62" s="77">
        <v>267546</v>
      </c>
      <c r="D62" s="77">
        <v>22.049999999999997</v>
      </c>
      <c r="H62" s="16" t="s">
        <v>556</v>
      </c>
      <c r="I62" s="77">
        <v>3236</v>
      </c>
      <c r="J62">
        <f t="shared" si="0"/>
        <v>2861.3333333333335</v>
      </c>
    </row>
    <row r="63" spans="1:10">
      <c r="A63" s="16" t="s">
        <v>506</v>
      </c>
      <c r="B63" s="77">
        <v>1680</v>
      </c>
      <c r="C63" s="77">
        <v>360759</v>
      </c>
      <c r="D63" s="77">
        <v>15.329999999999998</v>
      </c>
      <c r="H63" s="16" t="s">
        <v>547</v>
      </c>
      <c r="I63" s="77">
        <v>1689</v>
      </c>
      <c r="J63">
        <f t="shared" si="0"/>
        <v>2539.6666666666665</v>
      </c>
    </row>
    <row r="64" spans="1:10">
      <c r="A64" s="16" t="s">
        <v>526</v>
      </c>
      <c r="B64" s="77">
        <v>1543</v>
      </c>
      <c r="C64" s="77">
        <v>336383</v>
      </c>
      <c r="D64" s="77">
        <v>20.32</v>
      </c>
      <c r="H64" s="16" t="s">
        <v>523</v>
      </c>
      <c r="I64" s="77">
        <v>2347</v>
      </c>
      <c r="J64">
        <f t="shared" si="0"/>
        <v>2424</v>
      </c>
    </row>
    <row r="65" spans="1:11">
      <c r="A65" s="16" t="s">
        <v>515</v>
      </c>
      <c r="B65" s="77">
        <v>1436</v>
      </c>
      <c r="C65" s="77">
        <v>348686</v>
      </c>
      <c r="D65" s="77">
        <v>9.0300000000000011</v>
      </c>
      <c r="H65" s="16" t="s">
        <v>508</v>
      </c>
      <c r="I65" s="77">
        <v>1819</v>
      </c>
      <c r="J65">
        <f t="shared" si="0"/>
        <v>1951.6666666666667</v>
      </c>
    </row>
    <row r="66" spans="1:11">
      <c r="A66" s="16" t="s">
        <v>534</v>
      </c>
      <c r="B66" s="77">
        <v>1424</v>
      </c>
      <c r="C66" s="77">
        <v>313562</v>
      </c>
      <c r="D66" s="77">
        <v>13.17</v>
      </c>
      <c r="H66" s="16" t="s">
        <v>539</v>
      </c>
      <c r="I66" s="77">
        <v>2646</v>
      </c>
      <c r="J66">
        <f t="shared" si="0"/>
        <v>2270.6666666666665</v>
      </c>
    </row>
    <row r="67" spans="1:11">
      <c r="A67" s="16" t="s">
        <v>502</v>
      </c>
      <c r="B67" s="77">
        <v>1400</v>
      </c>
      <c r="C67" s="77">
        <v>366149</v>
      </c>
      <c r="D67" s="77">
        <v>19.09</v>
      </c>
      <c r="H67" s="16" t="s">
        <v>534</v>
      </c>
      <c r="I67" s="77">
        <v>1424</v>
      </c>
      <c r="J67">
        <f t="shared" si="0"/>
        <v>1963</v>
      </c>
    </row>
    <row r="68" spans="1:11">
      <c r="A68" s="16" t="s">
        <v>518</v>
      </c>
      <c r="B68" s="77">
        <v>1398</v>
      </c>
      <c r="C68" s="77">
        <v>345631</v>
      </c>
      <c r="D68" s="77">
        <v>20.64</v>
      </c>
      <c r="H68" s="16" t="s">
        <v>515</v>
      </c>
      <c r="I68" s="77">
        <v>1436</v>
      </c>
      <c r="J68">
        <f t="shared" si="0"/>
        <v>1835.3333333333333</v>
      </c>
    </row>
    <row r="69" spans="1:11">
      <c r="A69" s="16" t="s">
        <v>543</v>
      </c>
      <c r="B69" s="77">
        <v>1384</v>
      </c>
      <c r="C69" s="77">
        <v>279405</v>
      </c>
      <c r="D69" s="77">
        <v>21.61</v>
      </c>
    </row>
    <row r="70" spans="1:11">
      <c r="A70" s="16" t="s">
        <v>406</v>
      </c>
      <c r="B70" s="77">
        <v>161588</v>
      </c>
      <c r="C70" s="77">
        <v>397607</v>
      </c>
      <c r="D70" s="77">
        <v>1337.4899999999998</v>
      </c>
    </row>
    <row r="73" spans="1:11">
      <c r="A73" s="85" t="s">
        <v>584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</row>
    <row r="75" spans="1:11">
      <c r="A75" t="s">
        <v>346</v>
      </c>
      <c r="B75" t="s">
        <v>486</v>
      </c>
    </row>
    <row r="76" spans="1:11">
      <c r="A76">
        <f>Engagement_Summary_clean!G2</f>
        <v>10563</v>
      </c>
      <c r="B76">
        <f>Engagement_Summary_clean!H2</f>
        <v>413</v>
      </c>
      <c r="D76">
        <f>CORREL(A76:A275, B76:B275)</f>
        <v>-1.6915989818837331E-2</v>
      </c>
    </row>
    <row r="77" spans="1:11">
      <c r="A77">
        <f>Engagement_Summary_clean!G3</f>
        <v>19949</v>
      </c>
      <c r="B77">
        <f>Engagement_Summary_clean!H3</f>
        <v>1387</v>
      </c>
    </row>
    <row r="78" spans="1:11">
      <c r="A78">
        <f>Engagement_Summary_clean!G4</f>
        <v>14273</v>
      </c>
      <c r="B78">
        <f>Engagement_Summary_clean!H4</f>
        <v>537</v>
      </c>
    </row>
    <row r="79" spans="1:11">
      <c r="A79">
        <f>Engagement_Summary_clean!G5</f>
        <v>23125</v>
      </c>
      <c r="B79">
        <f>Engagement_Summary_clean!H5</f>
        <v>1334</v>
      </c>
    </row>
    <row r="80" spans="1:11">
      <c r="A80">
        <f>Engagement_Summary_clean!G6</f>
        <v>22788</v>
      </c>
      <c r="B80">
        <f>Engagement_Summary_clean!H6</f>
        <v>909</v>
      </c>
    </row>
    <row r="81" spans="1:2">
      <c r="A81">
        <f>Engagement_Summary_clean!G7</f>
        <v>7810</v>
      </c>
      <c r="B81">
        <f>Engagement_Summary_clean!H7</f>
        <v>1176</v>
      </c>
    </row>
    <row r="82" spans="1:2">
      <c r="A82">
        <f>Engagement_Summary_clean!G8</f>
        <v>11966</v>
      </c>
      <c r="B82">
        <f>Engagement_Summary_clean!H8</f>
        <v>928</v>
      </c>
    </row>
    <row r="83" spans="1:2">
      <c r="A83">
        <f>Engagement_Summary_clean!G9</f>
        <v>26298</v>
      </c>
      <c r="B83">
        <f>Engagement_Summary_clean!H9</f>
        <v>1397</v>
      </c>
    </row>
    <row r="84" spans="1:2">
      <c r="A84">
        <f>Engagement_Summary_clean!G10</f>
        <v>22029</v>
      </c>
      <c r="B84">
        <f>Engagement_Summary_clean!H10</f>
        <v>452</v>
      </c>
    </row>
    <row r="85" spans="1:2">
      <c r="A85">
        <f>Engagement_Summary_clean!G11</f>
        <v>12391</v>
      </c>
      <c r="B85">
        <f>Engagement_Summary_clean!H11</f>
        <v>590</v>
      </c>
    </row>
    <row r="86" spans="1:2">
      <c r="A86">
        <f>Engagement_Summary_clean!G12</f>
        <v>14477</v>
      </c>
      <c r="B86">
        <f>Engagement_Summary_clean!H12</f>
        <v>1283</v>
      </c>
    </row>
    <row r="87" spans="1:2">
      <c r="A87">
        <f>Engagement_Summary_clean!G13</f>
        <v>25040</v>
      </c>
      <c r="B87">
        <f>Engagement_Summary_clean!H13</f>
        <v>1302</v>
      </c>
    </row>
    <row r="88" spans="1:2">
      <c r="A88">
        <f>Engagement_Summary_clean!G14</f>
        <v>22619</v>
      </c>
      <c r="B88">
        <f>Engagement_Summary_clean!H14</f>
        <v>612</v>
      </c>
    </row>
    <row r="89" spans="1:2">
      <c r="A89">
        <f>Engagement_Summary_clean!G15</f>
        <v>12399</v>
      </c>
      <c r="B89">
        <f>Engagement_Summary_clean!H15</f>
        <v>1121</v>
      </c>
    </row>
    <row r="90" spans="1:2">
      <c r="A90">
        <f>Engagement_Summary_clean!G16</f>
        <v>22456</v>
      </c>
      <c r="B90">
        <f>Engagement_Summary_clean!H16</f>
        <v>700</v>
      </c>
    </row>
    <row r="91" spans="1:2">
      <c r="A91">
        <f>Engagement_Summary_clean!G17</f>
        <v>19328</v>
      </c>
      <c r="B91">
        <f>Engagement_Summary_clean!H17</f>
        <v>714</v>
      </c>
    </row>
    <row r="92" spans="1:2">
      <c r="A92">
        <f>Engagement_Summary_clean!G18</f>
        <v>21107</v>
      </c>
      <c r="B92">
        <f>Engagement_Summary_clean!H18</f>
        <v>595</v>
      </c>
    </row>
    <row r="93" spans="1:2">
      <c r="A93">
        <f>Engagement_Summary_clean!G19</f>
        <v>12277</v>
      </c>
      <c r="B93">
        <f>Engagement_Summary_clean!H19</f>
        <v>1117</v>
      </c>
    </row>
    <row r="94" spans="1:2">
      <c r="A94">
        <f>Engagement_Summary_clean!G20</f>
        <v>11684</v>
      </c>
      <c r="B94">
        <f>Engagement_Summary_clean!H20</f>
        <v>667</v>
      </c>
    </row>
    <row r="95" spans="1:2">
      <c r="A95">
        <f>Engagement_Summary_clean!G21</f>
        <v>14412</v>
      </c>
      <c r="B95">
        <f>Engagement_Summary_clean!H21</f>
        <v>1371</v>
      </c>
    </row>
    <row r="96" spans="1:2">
      <c r="A96">
        <f>Engagement_Summary_clean!G22</f>
        <v>15924</v>
      </c>
      <c r="B96">
        <f>Engagement_Summary_clean!H22</f>
        <v>1117</v>
      </c>
    </row>
    <row r="97" spans="1:2">
      <c r="A97">
        <f>Engagement_Summary_clean!G23</f>
        <v>12390</v>
      </c>
      <c r="B97">
        <f>Engagement_Summary_clean!H23</f>
        <v>359</v>
      </c>
    </row>
    <row r="98" spans="1:2">
      <c r="A98">
        <f>Engagement_Summary_clean!G24</f>
        <v>25742</v>
      </c>
      <c r="B98">
        <f>Engagement_Summary_clean!H24</f>
        <v>1098</v>
      </c>
    </row>
    <row r="99" spans="1:2">
      <c r="A99">
        <f>Engagement_Summary_clean!G25</f>
        <v>10495</v>
      </c>
      <c r="B99">
        <f>Engagement_Summary_clean!H25</f>
        <v>912</v>
      </c>
    </row>
    <row r="100" spans="1:2">
      <c r="A100">
        <f>Engagement_Summary_clean!G26</f>
        <v>7797</v>
      </c>
      <c r="B100">
        <f>Engagement_Summary_clean!H26</f>
        <v>792</v>
      </c>
    </row>
    <row r="101" spans="1:2">
      <c r="A101">
        <f>Engagement_Summary_clean!G27</f>
        <v>15595</v>
      </c>
      <c r="B101">
        <f>Engagement_Summary_clean!H27</f>
        <v>364</v>
      </c>
    </row>
    <row r="102" spans="1:2">
      <c r="A102">
        <f>Engagement_Summary_clean!G28</f>
        <v>24617</v>
      </c>
      <c r="B102">
        <f>Engagement_Summary_clean!H28</f>
        <v>1125</v>
      </c>
    </row>
    <row r="103" spans="1:2">
      <c r="A103">
        <f>Engagement_Summary_clean!G29</f>
        <v>9847</v>
      </c>
      <c r="B103">
        <f>Engagement_Summary_clean!H29</f>
        <v>869</v>
      </c>
    </row>
    <row r="104" spans="1:2">
      <c r="A104">
        <f>Engagement_Summary_clean!G30</f>
        <v>13644</v>
      </c>
      <c r="B104">
        <f>Engagement_Summary_clean!H30</f>
        <v>414</v>
      </c>
    </row>
    <row r="105" spans="1:2">
      <c r="A105">
        <f>Engagement_Summary_clean!G31</f>
        <v>11421</v>
      </c>
      <c r="B105">
        <f>Engagement_Summary_clean!H31</f>
        <v>849</v>
      </c>
    </row>
    <row r="106" spans="1:2">
      <c r="A106">
        <f>Engagement_Summary_clean!G32</f>
        <v>15613</v>
      </c>
      <c r="B106">
        <f>Engagement_Summary_clean!H32</f>
        <v>1353</v>
      </c>
    </row>
    <row r="107" spans="1:2">
      <c r="A107">
        <f>Engagement_Summary_clean!G33</f>
        <v>23900</v>
      </c>
      <c r="B107">
        <f>Engagement_Summary_clean!H33</f>
        <v>582</v>
      </c>
    </row>
    <row r="108" spans="1:2">
      <c r="A108">
        <f>Engagement_Summary_clean!G34</f>
        <v>5836</v>
      </c>
      <c r="B108">
        <f>Engagement_Summary_clean!H34</f>
        <v>758</v>
      </c>
    </row>
    <row r="109" spans="1:2">
      <c r="A109">
        <f>Engagement_Summary_clean!G35</f>
        <v>5624</v>
      </c>
      <c r="B109">
        <f>Engagement_Summary_clean!H35</f>
        <v>977</v>
      </c>
    </row>
    <row r="110" spans="1:2">
      <c r="A110">
        <f>Engagement_Summary_clean!G36</f>
        <v>10311</v>
      </c>
      <c r="B110">
        <f>Engagement_Summary_clean!H36</f>
        <v>1191</v>
      </c>
    </row>
    <row r="111" spans="1:2">
      <c r="A111">
        <f>Engagement_Summary_clean!G37</f>
        <v>8274</v>
      </c>
      <c r="B111">
        <f>Engagement_Summary_clean!H37</f>
        <v>904</v>
      </c>
    </row>
    <row r="112" spans="1:2">
      <c r="A112">
        <f>Engagement_Summary_clean!G38</f>
        <v>6031</v>
      </c>
      <c r="B112">
        <f>Engagement_Summary_clean!H38</f>
        <v>909</v>
      </c>
    </row>
    <row r="113" spans="1:2">
      <c r="A113">
        <f>Engagement_Summary_clean!G39</f>
        <v>27829</v>
      </c>
      <c r="B113">
        <f>Engagement_Summary_clean!H39</f>
        <v>382</v>
      </c>
    </row>
    <row r="114" spans="1:2">
      <c r="A114">
        <f>Engagement_Summary_clean!G40</f>
        <v>18267</v>
      </c>
      <c r="B114">
        <f>Engagement_Summary_clean!H40</f>
        <v>1009</v>
      </c>
    </row>
    <row r="115" spans="1:2">
      <c r="A115">
        <f>Engagement_Summary_clean!G41</f>
        <v>26624</v>
      </c>
      <c r="B115">
        <f>Engagement_Summary_clean!H41</f>
        <v>1022</v>
      </c>
    </row>
    <row r="116" spans="1:2">
      <c r="A116">
        <f>Engagement_Summary_clean!G42</f>
        <v>26644</v>
      </c>
      <c r="B116">
        <f>Engagement_Summary_clean!H42</f>
        <v>262</v>
      </c>
    </row>
    <row r="117" spans="1:2">
      <c r="A117">
        <f>Engagement_Summary_clean!G43</f>
        <v>13051</v>
      </c>
      <c r="B117">
        <f>Engagement_Summary_clean!H43</f>
        <v>1166</v>
      </c>
    </row>
    <row r="118" spans="1:2">
      <c r="A118">
        <f>Engagement_Summary_clean!G44</f>
        <v>14217</v>
      </c>
      <c r="B118">
        <f>Engagement_Summary_clean!H44</f>
        <v>515</v>
      </c>
    </row>
    <row r="119" spans="1:2">
      <c r="A119">
        <f>Engagement_Summary_clean!G45</f>
        <v>16385</v>
      </c>
      <c r="B119">
        <f>Engagement_Summary_clean!H45</f>
        <v>956</v>
      </c>
    </row>
    <row r="120" spans="1:2">
      <c r="A120">
        <f>Engagement_Summary_clean!G46</f>
        <v>24548</v>
      </c>
      <c r="B120">
        <f>Engagement_Summary_clean!H46</f>
        <v>1031</v>
      </c>
    </row>
    <row r="121" spans="1:2">
      <c r="A121">
        <f>Engagement_Summary_clean!G47</f>
        <v>9195</v>
      </c>
      <c r="B121">
        <f>Engagement_Summary_clean!H47</f>
        <v>637</v>
      </c>
    </row>
    <row r="122" spans="1:2">
      <c r="A122">
        <f>Engagement_Summary_clean!G48</f>
        <v>18071</v>
      </c>
      <c r="B122">
        <f>Engagement_Summary_clean!H48</f>
        <v>1268</v>
      </c>
    </row>
    <row r="123" spans="1:2">
      <c r="A123">
        <f>Engagement_Summary_clean!G49</f>
        <v>16875</v>
      </c>
      <c r="B123">
        <f>Engagement_Summary_clean!H49</f>
        <v>725</v>
      </c>
    </row>
    <row r="124" spans="1:2">
      <c r="A124">
        <f>Engagement_Summary_clean!G50</f>
        <v>9567</v>
      </c>
      <c r="B124">
        <f>Engagement_Summary_clean!H50</f>
        <v>471</v>
      </c>
    </row>
    <row r="125" spans="1:2">
      <c r="A125">
        <f>Engagement_Summary_clean!G51</f>
        <v>20306</v>
      </c>
      <c r="B125">
        <f>Engagement_Summary_clean!H51</f>
        <v>1291</v>
      </c>
    </row>
    <row r="126" spans="1:2">
      <c r="A126">
        <f>Engagement_Summary_clean!G52</f>
        <v>21134</v>
      </c>
      <c r="B126">
        <f>Engagement_Summary_clean!H52</f>
        <v>400</v>
      </c>
    </row>
    <row r="127" spans="1:2">
      <c r="A127">
        <f>Engagement_Summary_clean!G53</f>
        <v>26872</v>
      </c>
      <c r="B127">
        <f>Engagement_Summary_clean!H53</f>
        <v>1113</v>
      </c>
    </row>
    <row r="128" spans="1:2">
      <c r="A128">
        <f>Engagement_Summary_clean!G54</f>
        <v>10253</v>
      </c>
      <c r="B128">
        <f>Engagement_Summary_clean!H54</f>
        <v>1198</v>
      </c>
    </row>
    <row r="129" spans="1:2">
      <c r="A129">
        <f>Engagement_Summary_clean!G55</f>
        <v>23963</v>
      </c>
      <c r="B129">
        <f>Engagement_Summary_clean!H55</f>
        <v>474</v>
      </c>
    </row>
    <row r="130" spans="1:2">
      <c r="A130">
        <f>Engagement_Summary_clean!G56</f>
        <v>11335</v>
      </c>
      <c r="B130">
        <f>Engagement_Summary_clean!H56</f>
        <v>1132</v>
      </c>
    </row>
    <row r="131" spans="1:2">
      <c r="A131">
        <f>Engagement_Summary_clean!G57</f>
        <v>12115</v>
      </c>
      <c r="B131">
        <f>Engagement_Summary_clean!H57</f>
        <v>844</v>
      </c>
    </row>
    <row r="132" spans="1:2">
      <c r="A132">
        <f>Engagement_Summary_clean!G58</f>
        <v>24358</v>
      </c>
      <c r="B132">
        <f>Engagement_Summary_clean!H58</f>
        <v>1175</v>
      </c>
    </row>
    <row r="133" spans="1:2">
      <c r="A133">
        <f>Engagement_Summary_clean!G59</f>
        <v>12181</v>
      </c>
      <c r="B133">
        <f>Engagement_Summary_clean!H59</f>
        <v>559</v>
      </c>
    </row>
    <row r="134" spans="1:2">
      <c r="A134">
        <f>Engagement_Summary_clean!G60</f>
        <v>17729</v>
      </c>
      <c r="B134">
        <f>Engagement_Summary_clean!H60</f>
        <v>554</v>
      </c>
    </row>
    <row r="135" spans="1:2">
      <c r="A135">
        <f>Engagement_Summary_clean!G61</f>
        <v>10881</v>
      </c>
      <c r="B135">
        <f>Engagement_Summary_clean!H61</f>
        <v>1225</v>
      </c>
    </row>
    <row r="136" spans="1:2">
      <c r="A136">
        <f>Engagement_Summary_clean!G62</f>
        <v>18576</v>
      </c>
      <c r="B136">
        <f>Engagement_Summary_clean!H62</f>
        <v>892</v>
      </c>
    </row>
    <row r="137" spans="1:2">
      <c r="A137">
        <f>Engagement_Summary_clean!G63</f>
        <v>9383</v>
      </c>
      <c r="B137">
        <f>Engagement_Summary_clean!H63</f>
        <v>536</v>
      </c>
    </row>
    <row r="138" spans="1:2">
      <c r="A138">
        <f>Engagement_Summary_clean!G64</f>
        <v>14178</v>
      </c>
      <c r="B138">
        <f>Engagement_Summary_clean!H64</f>
        <v>1242</v>
      </c>
    </row>
    <row r="139" spans="1:2">
      <c r="A139">
        <f>Engagement_Summary_clean!G65</f>
        <v>21254</v>
      </c>
      <c r="B139">
        <f>Engagement_Summary_clean!H65</f>
        <v>948</v>
      </c>
    </row>
    <row r="140" spans="1:2">
      <c r="A140">
        <f>Engagement_Summary_clean!G66</f>
        <v>14215</v>
      </c>
      <c r="B140">
        <f>Engagement_Summary_clean!H66</f>
        <v>762</v>
      </c>
    </row>
    <row r="141" spans="1:2">
      <c r="A141">
        <f>Engagement_Summary_clean!G67</f>
        <v>16921</v>
      </c>
      <c r="B141">
        <f>Engagement_Summary_clean!H67</f>
        <v>1082</v>
      </c>
    </row>
    <row r="142" spans="1:2">
      <c r="A142">
        <f>Engagement_Summary_clean!G68</f>
        <v>25130</v>
      </c>
      <c r="B142">
        <f>Engagement_Summary_clean!H68</f>
        <v>1174</v>
      </c>
    </row>
    <row r="143" spans="1:2">
      <c r="A143">
        <f>Engagement_Summary_clean!G69</f>
        <v>25537</v>
      </c>
      <c r="B143">
        <f>Engagement_Summary_clean!H69</f>
        <v>464</v>
      </c>
    </row>
    <row r="144" spans="1:2">
      <c r="A144">
        <f>Engagement_Summary_clean!G70</f>
        <v>24943</v>
      </c>
      <c r="B144">
        <f>Engagement_Summary_clean!H70</f>
        <v>543</v>
      </c>
    </row>
    <row r="145" spans="1:2">
      <c r="A145">
        <f>Engagement_Summary_clean!G71</f>
        <v>14563</v>
      </c>
      <c r="B145">
        <f>Engagement_Summary_clean!H71</f>
        <v>1202</v>
      </c>
    </row>
    <row r="146" spans="1:2">
      <c r="A146">
        <f>Engagement_Summary_clean!G72</f>
        <v>26273</v>
      </c>
      <c r="B146">
        <f>Engagement_Summary_clean!H72</f>
        <v>1390</v>
      </c>
    </row>
    <row r="147" spans="1:2">
      <c r="A147">
        <f>Engagement_Summary_clean!G73</f>
        <v>10858</v>
      </c>
      <c r="B147">
        <f>Engagement_Summary_clean!H73</f>
        <v>984</v>
      </c>
    </row>
    <row r="148" spans="1:2">
      <c r="A148">
        <f>Engagement_Summary_clean!G74</f>
        <v>25038</v>
      </c>
      <c r="B148">
        <f>Engagement_Summary_clean!H74</f>
        <v>1204</v>
      </c>
    </row>
    <row r="149" spans="1:2">
      <c r="A149">
        <f>Engagement_Summary_clean!G75</f>
        <v>9092</v>
      </c>
      <c r="B149">
        <f>Engagement_Summary_clean!H75</f>
        <v>532</v>
      </c>
    </row>
    <row r="150" spans="1:2">
      <c r="A150">
        <f>Engagement_Summary_clean!G76</f>
        <v>17662</v>
      </c>
      <c r="B150">
        <f>Engagement_Summary_clean!H76</f>
        <v>1058</v>
      </c>
    </row>
    <row r="151" spans="1:2">
      <c r="A151">
        <f>Engagement_Summary_clean!G77</f>
        <v>5924</v>
      </c>
      <c r="B151">
        <f>Engagement_Summary_clean!H77</f>
        <v>676</v>
      </c>
    </row>
    <row r="152" spans="1:2">
      <c r="A152">
        <f>Engagement_Summary_clean!G78</f>
        <v>25347</v>
      </c>
      <c r="B152">
        <f>Engagement_Summary_clean!H78</f>
        <v>577</v>
      </c>
    </row>
    <row r="153" spans="1:2">
      <c r="A153">
        <f>Engagement_Summary_clean!G79</f>
        <v>8910</v>
      </c>
      <c r="B153">
        <f>Engagement_Summary_clean!H79</f>
        <v>682</v>
      </c>
    </row>
    <row r="154" spans="1:2">
      <c r="A154">
        <f>Engagement_Summary_clean!G80</f>
        <v>20438</v>
      </c>
      <c r="B154">
        <f>Engagement_Summary_clean!H80</f>
        <v>450</v>
      </c>
    </row>
    <row r="155" spans="1:2">
      <c r="A155">
        <f>Engagement_Summary_clean!G81</f>
        <v>8760</v>
      </c>
      <c r="B155">
        <f>Engagement_Summary_clean!H81</f>
        <v>683</v>
      </c>
    </row>
    <row r="156" spans="1:2">
      <c r="A156">
        <f>Engagement_Summary_clean!G82</f>
        <v>6625</v>
      </c>
      <c r="B156">
        <f>Engagement_Summary_clean!H82</f>
        <v>1154</v>
      </c>
    </row>
    <row r="157" spans="1:2">
      <c r="A157">
        <f>Engagement_Summary_clean!G83</f>
        <v>23329</v>
      </c>
      <c r="B157">
        <f>Engagement_Summary_clean!H83</f>
        <v>808</v>
      </c>
    </row>
    <row r="158" spans="1:2">
      <c r="A158">
        <f>Engagement_Summary_clean!G84</f>
        <v>7299</v>
      </c>
      <c r="B158">
        <f>Engagement_Summary_clean!H84</f>
        <v>871</v>
      </c>
    </row>
    <row r="159" spans="1:2">
      <c r="A159">
        <f>Engagement_Summary_clean!G85</f>
        <v>14496</v>
      </c>
      <c r="B159">
        <f>Engagement_Summary_clean!H85</f>
        <v>704</v>
      </c>
    </row>
    <row r="160" spans="1:2">
      <c r="A160">
        <f>Engagement_Summary_clean!G86</f>
        <v>25703</v>
      </c>
      <c r="B160">
        <f>Engagement_Summary_clean!H86</f>
        <v>611</v>
      </c>
    </row>
    <row r="161" spans="1:2">
      <c r="A161">
        <f>Engagement_Summary_clean!G87</f>
        <v>15108</v>
      </c>
      <c r="B161">
        <f>Engagement_Summary_clean!H87</f>
        <v>405</v>
      </c>
    </row>
    <row r="162" spans="1:2">
      <c r="A162">
        <f>Engagement_Summary_clean!G88</f>
        <v>18867</v>
      </c>
      <c r="B162">
        <f>Engagement_Summary_clean!H88</f>
        <v>382</v>
      </c>
    </row>
    <row r="163" spans="1:2">
      <c r="A163">
        <f>Engagement_Summary_clean!G89</f>
        <v>17574</v>
      </c>
      <c r="B163">
        <f>Engagement_Summary_clean!H89</f>
        <v>1117</v>
      </c>
    </row>
    <row r="164" spans="1:2">
      <c r="A164">
        <f>Engagement_Summary_clean!G90</f>
        <v>12840</v>
      </c>
      <c r="B164">
        <f>Engagement_Summary_clean!H90</f>
        <v>477</v>
      </c>
    </row>
    <row r="165" spans="1:2">
      <c r="A165">
        <f>Engagement_Summary_clean!G91</f>
        <v>21079</v>
      </c>
      <c r="B165">
        <f>Engagement_Summary_clean!H91</f>
        <v>1099</v>
      </c>
    </row>
    <row r="166" spans="1:2">
      <c r="A166">
        <f>Engagement_Summary_clean!G92</f>
        <v>23486</v>
      </c>
      <c r="B166">
        <f>Engagement_Summary_clean!H92</f>
        <v>567</v>
      </c>
    </row>
    <row r="167" spans="1:2">
      <c r="A167">
        <f>Engagement_Summary_clean!G93</f>
        <v>5960</v>
      </c>
      <c r="B167">
        <f>Engagement_Summary_clean!H93</f>
        <v>1133</v>
      </c>
    </row>
    <row r="168" spans="1:2">
      <c r="A168">
        <f>Engagement_Summary_clean!G94</f>
        <v>13301</v>
      </c>
      <c r="B168">
        <f>Engagement_Summary_clean!H94</f>
        <v>850</v>
      </c>
    </row>
    <row r="169" spans="1:2">
      <c r="A169">
        <f>Engagement_Summary_clean!G95</f>
        <v>9247</v>
      </c>
      <c r="B169">
        <f>Engagement_Summary_clean!H95</f>
        <v>443</v>
      </c>
    </row>
    <row r="170" spans="1:2">
      <c r="A170">
        <f>Engagement_Summary_clean!G96</f>
        <v>11972</v>
      </c>
      <c r="B170">
        <f>Engagement_Summary_clean!H96</f>
        <v>1283</v>
      </c>
    </row>
    <row r="171" spans="1:2">
      <c r="A171">
        <f>Engagement_Summary_clean!G97</f>
        <v>13314</v>
      </c>
      <c r="B171">
        <f>Engagement_Summary_clean!H97</f>
        <v>725</v>
      </c>
    </row>
    <row r="172" spans="1:2">
      <c r="A172">
        <f>Engagement_Summary_clean!G98</f>
        <v>14749</v>
      </c>
      <c r="B172">
        <f>Engagement_Summary_clean!H98</f>
        <v>467</v>
      </c>
    </row>
    <row r="173" spans="1:2">
      <c r="A173">
        <f>Engagement_Summary_clean!G99</f>
        <v>6868</v>
      </c>
      <c r="B173">
        <f>Engagement_Summary_clean!H99</f>
        <v>1354</v>
      </c>
    </row>
    <row r="174" spans="1:2">
      <c r="A174">
        <f>Engagement_Summary_clean!G100</f>
        <v>6027</v>
      </c>
      <c r="B174">
        <f>Engagement_Summary_clean!H100</f>
        <v>520</v>
      </c>
    </row>
    <row r="175" spans="1:2">
      <c r="A175">
        <f>Engagement_Summary_clean!G101</f>
        <v>25267</v>
      </c>
      <c r="B175">
        <f>Engagement_Summary_clean!H101</f>
        <v>442</v>
      </c>
    </row>
    <row r="176" spans="1:2">
      <c r="A176">
        <f>Engagement_Summary_clean!G102</f>
        <v>5900</v>
      </c>
      <c r="B176">
        <f>Engagement_Summary_clean!H102</f>
        <v>546</v>
      </c>
    </row>
    <row r="177" spans="1:2">
      <c r="A177">
        <f>Engagement_Summary_clean!G103</f>
        <v>11181</v>
      </c>
      <c r="B177">
        <f>Engagement_Summary_clean!H103</f>
        <v>844</v>
      </c>
    </row>
    <row r="178" spans="1:2">
      <c r="A178">
        <f>Engagement_Summary_clean!G104</f>
        <v>9592</v>
      </c>
      <c r="B178">
        <f>Engagement_Summary_clean!H104</f>
        <v>341</v>
      </c>
    </row>
    <row r="179" spans="1:2">
      <c r="A179">
        <f>Engagement_Summary_clean!G105</f>
        <v>5291</v>
      </c>
      <c r="B179">
        <f>Engagement_Summary_clean!H105</f>
        <v>869</v>
      </c>
    </row>
    <row r="180" spans="1:2">
      <c r="A180">
        <f>Engagement_Summary_clean!G106</f>
        <v>22244</v>
      </c>
      <c r="B180">
        <f>Engagement_Summary_clean!H106</f>
        <v>718</v>
      </c>
    </row>
    <row r="181" spans="1:2">
      <c r="A181">
        <f>Engagement_Summary_clean!G107</f>
        <v>6824</v>
      </c>
      <c r="B181">
        <f>Engagement_Summary_clean!H107</f>
        <v>735</v>
      </c>
    </row>
    <row r="182" spans="1:2">
      <c r="A182">
        <f>Engagement_Summary_clean!G108</f>
        <v>24112</v>
      </c>
      <c r="B182">
        <f>Engagement_Summary_clean!H108</f>
        <v>523</v>
      </c>
    </row>
    <row r="183" spans="1:2">
      <c r="A183">
        <f>Engagement_Summary_clean!G109</f>
        <v>25478</v>
      </c>
      <c r="B183">
        <f>Engagement_Summary_clean!H109</f>
        <v>422</v>
      </c>
    </row>
    <row r="184" spans="1:2">
      <c r="A184">
        <f>Engagement_Summary_clean!G110</f>
        <v>11235</v>
      </c>
      <c r="B184">
        <f>Engagement_Summary_clean!H110</f>
        <v>915</v>
      </c>
    </row>
    <row r="185" spans="1:2">
      <c r="A185">
        <f>Engagement_Summary_clean!G111</f>
        <v>6120</v>
      </c>
      <c r="B185">
        <f>Engagement_Summary_clean!H111</f>
        <v>1108</v>
      </c>
    </row>
    <row r="186" spans="1:2">
      <c r="A186">
        <f>Engagement_Summary_clean!G112</f>
        <v>20572</v>
      </c>
      <c r="B186">
        <f>Engagement_Summary_clean!H112</f>
        <v>338</v>
      </c>
    </row>
    <row r="187" spans="1:2">
      <c r="A187">
        <f>Engagement_Summary_clean!G113</f>
        <v>14975</v>
      </c>
      <c r="B187">
        <f>Engagement_Summary_clean!H113</f>
        <v>724</v>
      </c>
    </row>
    <row r="188" spans="1:2">
      <c r="A188">
        <f>Engagement_Summary_clean!G114</f>
        <v>22234</v>
      </c>
      <c r="B188">
        <f>Engagement_Summary_clean!H114</f>
        <v>463</v>
      </c>
    </row>
    <row r="189" spans="1:2">
      <c r="A189">
        <f>Engagement_Summary_clean!G115</f>
        <v>6532</v>
      </c>
      <c r="B189">
        <f>Engagement_Summary_clean!H115</f>
        <v>356</v>
      </c>
    </row>
    <row r="190" spans="1:2">
      <c r="A190">
        <f>Engagement_Summary_clean!G116</f>
        <v>24858</v>
      </c>
      <c r="B190">
        <f>Engagement_Summary_clean!H116</f>
        <v>378</v>
      </c>
    </row>
    <row r="191" spans="1:2">
      <c r="A191">
        <f>Engagement_Summary_clean!G117</f>
        <v>13883</v>
      </c>
      <c r="B191">
        <f>Engagement_Summary_clean!H117</f>
        <v>636</v>
      </c>
    </row>
    <row r="192" spans="1:2">
      <c r="A192">
        <f>Engagement_Summary_clean!G118</f>
        <v>18654</v>
      </c>
      <c r="B192">
        <f>Engagement_Summary_clean!H118</f>
        <v>699</v>
      </c>
    </row>
    <row r="193" spans="1:2">
      <c r="A193">
        <f>Engagement_Summary_clean!G119</f>
        <v>25234</v>
      </c>
      <c r="B193">
        <f>Engagement_Summary_clean!H119</f>
        <v>1279</v>
      </c>
    </row>
    <row r="194" spans="1:2">
      <c r="A194">
        <f>Engagement_Summary_clean!G120</f>
        <v>6772</v>
      </c>
      <c r="B194">
        <f>Engagement_Summary_clean!H120</f>
        <v>1006</v>
      </c>
    </row>
    <row r="195" spans="1:2">
      <c r="A195">
        <f>Engagement_Summary_clean!G121</f>
        <v>22428</v>
      </c>
      <c r="B195">
        <f>Engagement_Summary_clean!H121</f>
        <v>478</v>
      </c>
    </row>
    <row r="196" spans="1:2">
      <c r="A196">
        <f>Engagement_Summary_clean!G122</f>
        <v>11911</v>
      </c>
      <c r="B196">
        <f>Engagement_Summary_clean!H122</f>
        <v>545</v>
      </c>
    </row>
    <row r="197" spans="1:2">
      <c r="A197">
        <f>Engagement_Summary_clean!G123</f>
        <v>21900</v>
      </c>
      <c r="B197">
        <f>Engagement_Summary_clean!H123</f>
        <v>1005</v>
      </c>
    </row>
    <row r="198" spans="1:2">
      <c r="A198">
        <f>Engagement_Summary_clean!G124</f>
        <v>25542</v>
      </c>
      <c r="B198">
        <f>Engagement_Summary_clean!H124</f>
        <v>765</v>
      </c>
    </row>
    <row r="199" spans="1:2">
      <c r="A199">
        <f>Engagement_Summary_clean!G125</f>
        <v>7140</v>
      </c>
      <c r="B199">
        <f>Engagement_Summary_clean!H125</f>
        <v>564</v>
      </c>
    </row>
    <row r="200" spans="1:2">
      <c r="A200">
        <f>Engagement_Summary_clean!G126</f>
        <v>20474</v>
      </c>
      <c r="B200">
        <f>Engagement_Summary_clean!H126</f>
        <v>496</v>
      </c>
    </row>
    <row r="201" spans="1:2">
      <c r="A201">
        <f>Engagement_Summary_clean!G127</f>
        <v>8698</v>
      </c>
      <c r="B201">
        <f>Engagement_Summary_clean!H127</f>
        <v>1128</v>
      </c>
    </row>
    <row r="202" spans="1:2">
      <c r="A202">
        <f>Engagement_Summary_clean!G128</f>
        <v>10402</v>
      </c>
      <c r="B202">
        <f>Engagement_Summary_clean!H128</f>
        <v>565</v>
      </c>
    </row>
    <row r="203" spans="1:2">
      <c r="A203">
        <f>Engagement_Summary_clean!G129</f>
        <v>26618</v>
      </c>
      <c r="B203">
        <f>Engagement_Summary_clean!H129</f>
        <v>813</v>
      </c>
    </row>
    <row r="204" spans="1:2">
      <c r="A204">
        <f>Engagement_Summary_clean!G130</f>
        <v>7975</v>
      </c>
      <c r="B204">
        <f>Engagement_Summary_clean!H130</f>
        <v>1301</v>
      </c>
    </row>
    <row r="205" spans="1:2">
      <c r="A205">
        <f>Engagement_Summary_clean!G131</f>
        <v>19054</v>
      </c>
      <c r="B205">
        <f>Engagement_Summary_clean!H131</f>
        <v>436</v>
      </c>
    </row>
    <row r="206" spans="1:2">
      <c r="A206">
        <f>Engagement_Summary_clean!G132</f>
        <v>13740</v>
      </c>
      <c r="B206">
        <f>Engagement_Summary_clean!H132</f>
        <v>978</v>
      </c>
    </row>
    <row r="207" spans="1:2">
      <c r="A207">
        <f>Engagement_Summary_clean!G133</f>
        <v>18442</v>
      </c>
      <c r="B207">
        <f>Engagement_Summary_clean!H133</f>
        <v>1367</v>
      </c>
    </row>
    <row r="208" spans="1:2">
      <c r="A208">
        <f>Engagement_Summary_clean!G134</f>
        <v>10104</v>
      </c>
      <c r="B208">
        <f>Engagement_Summary_clean!H134</f>
        <v>1337</v>
      </c>
    </row>
    <row r="209" spans="1:2">
      <c r="A209">
        <f>Engagement_Summary_clean!G135</f>
        <v>21771</v>
      </c>
      <c r="B209">
        <f>Engagement_Summary_clean!H135</f>
        <v>1014</v>
      </c>
    </row>
    <row r="210" spans="1:2">
      <c r="A210">
        <f>Engagement_Summary_clean!G136</f>
        <v>22191</v>
      </c>
      <c r="B210">
        <f>Engagement_Summary_clean!H136</f>
        <v>940</v>
      </c>
    </row>
    <row r="211" spans="1:2">
      <c r="A211">
        <f>Engagement_Summary_clean!G137</f>
        <v>27753</v>
      </c>
      <c r="B211">
        <f>Engagement_Summary_clean!H137</f>
        <v>690</v>
      </c>
    </row>
    <row r="212" spans="1:2">
      <c r="A212">
        <f>Engagement_Summary_clean!G138</f>
        <v>23736</v>
      </c>
      <c r="B212">
        <f>Engagement_Summary_clean!H138</f>
        <v>1335</v>
      </c>
    </row>
    <row r="213" spans="1:2">
      <c r="A213">
        <f>Engagement_Summary_clean!G139</f>
        <v>27393</v>
      </c>
      <c r="B213">
        <f>Engagement_Summary_clean!H139</f>
        <v>1191</v>
      </c>
    </row>
    <row r="214" spans="1:2">
      <c r="A214">
        <f>Engagement_Summary_clean!G140</f>
        <v>10343</v>
      </c>
      <c r="B214">
        <f>Engagement_Summary_clean!H140</f>
        <v>353</v>
      </c>
    </row>
    <row r="215" spans="1:2">
      <c r="A215">
        <f>Engagement_Summary_clean!G141</f>
        <v>25259</v>
      </c>
      <c r="B215">
        <f>Engagement_Summary_clean!H141</f>
        <v>486</v>
      </c>
    </row>
    <row r="216" spans="1:2">
      <c r="A216">
        <f>Engagement_Summary_clean!G142</f>
        <v>24827</v>
      </c>
      <c r="B216">
        <f>Engagement_Summary_clean!H142</f>
        <v>889</v>
      </c>
    </row>
    <row r="217" spans="1:2">
      <c r="A217">
        <f>Engagement_Summary_clean!G143</f>
        <v>11908</v>
      </c>
      <c r="B217">
        <f>Engagement_Summary_clean!H143</f>
        <v>983</v>
      </c>
    </row>
    <row r="218" spans="1:2">
      <c r="A218">
        <f>Engagement_Summary_clean!G144</f>
        <v>11005</v>
      </c>
      <c r="B218">
        <f>Engagement_Summary_clean!H144</f>
        <v>581</v>
      </c>
    </row>
    <row r="219" spans="1:2">
      <c r="A219">
        <f>Engagement_Summary_clean!G145</f>
        <v>26333</v>
      </c>
      <c r="B219">
        <f>Engagement_Summary_clean!H145</f>
        <v>814</v>
      </c>
    </row>
    <row r="220" spans="1:2">
      <c r="A220">
        <f>Engagement_Summary_clean!G146</f>
        <v>5495</v>
      </c>
      <c r="B220">
        <f>Engagement_Summary_clean!H146</f>
        <v>919</v>
      </c>
    </row>
    <row r="221" spans="1:2">
      <c r="A221">
        <f>Engagement_Summary_clean!G147</f>
        <v>15655</v>
      </c>
      <c r="B221">
        <f>Engagement_Summary_clean!H147</f>
        <v>676</v>
      </c>
    </row>
    <row r="222" spans="1:2">
      <c r="A222">
        <f>Engagement_Summary_clean!G148</f>
        <v>13763</v>
      </c>
      <c r="B222">
        <f>Engagement_Summary_clean!H148</f>
        <v>459</v>
      </c>
    </row>
    <row r="223" spans="1:2">
      <c r="A223">
        <f>Engagement_Summary_clean!G149</f>
        <v>26073</v>
      </c>
      <c r="B223">
        <f>Engagement_Summary_clean!H149</f>
        <v>576</v>
      </c>
    </row>
    <row r="224" spans="1:2">
      <c r="A224">
        <f>Engagement_Summary_clean!G150</f>
        <v>12774</v>
      </c>
      <c r="B224">
        <f>Engagement_Summary_clean!H150</f>
        <v>447</v>
      </c>
    </row>
    <row r="225" spans="1:2">
      <c r="A225">
        <f>Engagement_Summary_clean!G151</f>
        <v>19000</v>
      </c>
      <c r="B225">
        <f>Engagement_Summary_clean!H151</f>
        <v>377</v>
      </c>
    </row>
    <row r="226" spans="1:2">
      <c r="A226">
        <f>Engagement_Summary_clean!G152</f>
        <v>14051</v>
      </c>
      <c r="B226">
        <f>Engagement_Summary_clean!H152</f>
        <v>932</v>
      </c>
    </row>
    <row r="227" spans="1:2">
      <c r="A227">
        <f>Engagement_Summary_clean!G153</f>
        <v>27782</v>
      </c>
      <c r="B227">
        <f>Engagement_Summary_clean!H153</f>
        <v>1356</v>
      </c>
    </row>
    <row r="228" spans="1:2">
      <c r="A228">
        <f>Engagement_Summary_clean!G154</f>
        <v>7859</v>
      </c>
      <c r="B228">
        <f>Engagement_Summary_clean!H154</f>
        <v>1281</v>
      </c>
    </row>
    <row r="229" spans="1:2">
      <c r="A229">
        <f>Engagement_Summary_clean!G155</f>
        <v>15773</v>
      </c>
      <c r="B229">
        <f>Engagement_Summary_clean!H155</f>
        <v>1041</v>
      </c>
    </row>
    <row r="230" spans="1:2">
      <c r="A230">
        <f>Engagement_Summary_clean!G156</f>
        <v>20595</v>
      </c>
      <c r="B230">
        <f>Engagement_Summary_clean!H156</f>
        <v>1184</v>
      </c>
    </row>
    <row r="231" spans="1:2">
      <c r="A231">
        <f>Engagement_Summary_clean!G157</f>
        <v>12031</v>
      </c>
      <c r="B231">
        <f>Engagement_Summary_clean!H157</f>
        <v>684</v>
      </c>
    </row>
    <row r="232" spans="1:2">
      <c r="A232">
        <f>Engagement_Summary_clean!G158</f>
        <v>15128</v>
      </c>
      <c r="B232">
        <f>Engagement_Summary_clean!H158</f>
        <v>354</v>
      </c>
    </row>
    <row r="233" spans="1:2">
      <c r="A233">
        <f>Engagement_Summary_clean!G159</f>
        <v>11826</v>
      </c>
      <c r="B233">
        <f>Engagement_Summary_clean!H159</f>
        <v>1126</v>
      </c>
    </row>
    <row r="234" spans="1:2">
      <c r="A234">
        <f>Engagement_Summary_clean!G160</f>
        <v>12562</v>
      </c>
      <c r="B234">
        <f>Engagement_Summary_clean!H160</f>
        <v>569</v>
      </c>
    </row>
    <row r="235" spans="1:2">
      <c r="A235">
        <f>Engagement_Summary_clean!G161</f>
        <v>13013</v>
      </c>
      <c r="B235">
        <f>Engagement_Summary_clean!H161</f>
        <v>730</v>
      </c>
    </row>
    <row r="236" spans="1:2">
      <c r="A236">
        <f>Engagement_Summary_clean!G162</f>
        <v>12937</v>
      </c>
      <c r="B236">
        <f>Engagement_Summary_clean!H162</f>
        <v>578</v>
      </c>
    </row>
    <row r="237" spans="1:2">
      <c r="A237">
        <f>Engagement_Summary_clean!G163</f>
        <v>14534</v>
      </c>
      <c r="B237">
        <f>Engagement_Summary_clean!H163</f>
        <v>935</v>
      </c>
    </row>
    <row r="238" spans="1:2">
      <c r="A238">
        <f>Engagement_Summary_clean!G164</f>
        <v>8182</v>
      </c>
      <c r="B238">
        <f>Engagement_Summary_clean!H164</f>
        <v>698</v>
      </c>
    </row>
    <row r="239" spans="1:2">
      <c r="A239">
        <f>Engagement_Summary_clean!G165</f>
        <v>10615</v>
      </c>
      <c r="B239">
        <f>Engagement_Summary_clean!H165</f>
        <v>325</v>
      </c>
    </row>
    <row r="240" spans="1:2">
      <c r="A240">
        <f>Engagement_Summary_clean!G166</f>
        <v>20109</v>
      </c>
      <c r="B240">
        <f>Engagement_Summary_clean!H166</f>
        <v>994</v>
      </c>
    </row>
    <row r="241" spans="1:2">
      <c r="A241">
        <f>Engagement_Summary_clean!G167</f>
        <v>26024</v>
      </c>
      <c r="B241">
        <f>Engagement_Summary_clean!H167</f>
        <v>320</v>
      </c>
    </row>
    <row r="242" spans="1:2">
      <c r="A242">
        <f>Engagement_Summary_clean!G168</f>
        <v>26730</v>
      </c>
      <c r="B242">
        <f>Engagement_Summary_clean!H168</f>
        <v>544</v>
      </c>
    </row>
    <row r="243" spans="1:2">
      <c r="A243">
        <f>Engagement_Summary_clean!G169</f>
        <v>10563</v>
      </c>
      <c r="B243">
        <f>Engagement_Summary_clean!H169</f>
        <v>520</v>
      </c>
    </row>
    <row r="244" spans="1:2">
      <c r="A244">
        <f>Engagement_Summary_clean!G170</f>
        <v>27575</v>
      </c>
      <c r="B244">
        <f>Engagement_Summary_clean!H170</f>
        <v>485</v>
      </c>
    </row>
    <row r="245" spans="1:2">
      <c r="A245">
        <f>Engagement_Summary_clean!G171</f>
        <v>14479</v>
      </c>
      <c r="B245">
        <f>Engagement_Summary_clean!H171</f>
        <v>1234</v>
      </c>
    </row>
    <row r="246" spans="1:2">
      <c r="A246">
        <f>Engagement_Summary_clean!G172</f>
        <v>15915</v>
      </c>
      <c r="B246">
        <f>Engagement_Summary_clean!H172</f>
        <v>596</v>
      </c>
    </row>
    <row r="247" spans="1:2">
      <c r="A247">
        <f>Engagement_Summary_clean!G173</f>
        <v>12767</v>
      </c>
      <c r="B247">
        <f>Engagement_Summary_clean!H173</f>
        <v>831</v>
      </c>
    </row>
    <row r="248" spans="1:2">
      <c r="A248">
        <f>Engagement_Summary_clean!G174</f>
        <v>12170</v>
      </c>
      <c r="B248">
        <f>Engagement_Summary_clean!H174</f>
        <v>1033</v>
      </c>
    </row>
    <row r="249" spans="1:2">
      <c r="A249">
        <f>Engagement_Summary_clean!G175</f>
        <v>7245</v>
      </c>
      <c r="B249">
        <f>Engagement_Summary_clean!H175</f>
        <v>805</v>
      </c>
    </row>
    <row r="250" spans="1:2">
      <c r="A250">
        <f>Engagement_Summary_clean!G176</f>
        <v>12985</v>
      </c>
      <c r="B250">
        <f>Engagement_Summary_clean!H176</f>
        <v>1274</v>
      </c>
    </row>
    <row r="251" spans="1:2">
      <c r="A251">
        <f>Engagement_Summary_clean!G177</f>
        <v>16377</v>
      </c>
      <c r="B251">
        <f>Engagement_Summary_clean!H177</f>
        <v>428</v>
      </c>
    </row>
    <row r="252" spans="1:2">
      <c r="A252">
        <f>Engagement_Summary_clean!G178</f>
        <v>11453</v>
      </c>
      <c r="B252">
        <f>Engagement_Summary_clean!H178</f>
        <v>952</v>
      </c>
    </row>
    <row r="253" spans="1:2">
      <c r="A253">
        <f>Engagement_Summary_clean!G179</f>
        <v>12323</v>
      </c>
      <c r="B253">
        <f>Engagement_Summary_clean!H179</f>
        <v>951</v>
      </c>
    </row>
    <row r="254" spans="1:2">
      <c r="A254">
        <f>Engagement_Summary_clean!G180</f>
        <v>11911</v>
      </c>
      <c r="B254">
        <f>Engagement_Summary_clean!H180</f>
        <v>604</v>
      </c>
    </row>
    <row r="255" spans="1:2">
      <c r="A255">
        <f>Engagement_Summary_clean!G181</f>
        <v>27809</v>
      </c>
      <c r="B255">
        <f>Engagement_Summary_clean!H181</f>
        <v>1139</v>
      </c>
    </row>
    <row r="256" spans="1:2">
      <c r="A256">
        <f>Engagement_Summary_clean!G182</f>
        <v>21464</v>
      </c>
      <c r="B256">
        <f>Engagement_Summary_clean!H182</f>
        <v>567</v>
      </c>
    </row>
    <row r="257" spans="1:2">
      <c r="A257">
        <f>Engagement_Summary_clean!G183</f>
        <v>27126</v>
      </c>
      <c r="B257">
        <f>Engagement_Summary_clean!H183</f>
        <v>1282</v>
      </c>
    </row>
    <row r="258" spans="1:2">
      <c r="A258">
        <f>Engagement_Summary_clean!G184</f>
        <v>10681</v>
      </c>
      <c r="B258">
        <f>Engagement_Summary_clean!H184</f>
        <v>1387</v>
      </c>
    </row>
    <row r="259" spans="1:2">
      <c r="A259">
        <f>Engagement_Summary_clean!G185</f>
        <v>5413</v>
      </c>
      <c r="B259">
        <f>Engagement_Summary_clean!H185</f>
        <v>667</v>
      </c>
    </row>
    <row r="260" spans="1:2">
      <c r="A260">
        <f>Engagement_Summary_clean!G186</f>
        <v>25058</v>
      </c>
      <c r="B260">
        <f>Engagement_Summary_clean!H186</f>
        <v>499</v>
      </c>
    </row>
    <row r="261" spans="1:2">
      <c r="A261">
        <f>Engagement_Summary_clean!G187</f>
        <v>18303</v>
      </c>
      <c r="B261">
        <f>Engagement_Summary_clean!H187</f>
        <v>523</v>
      </c>
    </row>
    <row r="262" spans="1:2">
      <c r="A262">
        <f>Engagement_Summary_clean!G188</f>
        <v>5526</v>
      </c>
      <c r="B262">
        <f>Engagement_Summary_clean!H188</f>
        <v>896</v>
      </c>
    </row>
    <row r="263" spans="1:2">
      <c r="A263">
        <f>Engagement_Summary_clean!G189</f>
        <v>17460</v>
      </c>
      <c r="B263">
        <f>Engagement_Summary_clean!H189</f>
        <v>702</v>
      </c>
    </row>
    <row r="264" spans="1:2">
      <c r="A264">
        <f>Engagement_Summary_clean!G190</f>
        <v>14475</v>
      </c>
      <c r="B264">
        <f>Engagement_Summary_clean!H190</f>
        <v>749</v>
      </c>
    </row>
    <row r="265" spans="1:2">
      <c r="A265">
        <f>Engagement_Summary_clean!G191</f>
        <v>20162</v>
      </c>
      <c r="B265">
        <f>Engagement_Summary_clean!H191</f>
        <v>333</v>
      </c>
    </row>
    <row r="266" spans="1:2">
      <c r="A266">
        <f>Engagement_Summary_clean!G192</f>
        <v>17103</v>
      </c>
      <c r="B266">
        <f>Engagement_Summary_clean!H192</f>
        <v>647</v>
      </c>
    </row>
    <row r="267" spans="1:2">
      <c r="A267">
        <f>Engagement_Summary_clean!G193</f>
        <v>15461</v>
      </c>
      <c r="B267">
        <f>Engagement_Summary_clean!H193</f>
        <v>839</v>
      </c>
    </row>
    <row r="268" spans="1:2">
      <c r="A268">
        <f>Engagement_Summary_clean!G194</f>
        <v>22103</v>
      </c>
      <c r="B268">
        <f>Engagement_Summary_clean!H194</f>
        <v>960</v>
      </c>
    </row>
    <row r="269" spans="1:2">
      <c r="A269">
        <f>Engagement_Summary_clean!G195</f>
        <v>11625</v>
      </c>
      <c r="B269">
        <f>Engagement_Summary_clean!H195</f>
        <v>1168</v>
      </c>
    </row>
    <row r="270" spans="1:2">
      <c r="A270">
        <f>Engagement_Summary_clean!G196</f>
        <v>5281</v>
      </c>
      <c r="B270">
        <f>Engagement_Summary_clean!H196</f>
        <v>518</v>
      </c>
    </row>
    <row r="271" spans="1:2">
      <c r="A271">
        <f>Engagement_Summary_clean!G197</f>
        <v>13424</v>
      </c>
      <c r="B271">
        <f>Engagement_Summary_clean!H197</f>
        <v>872</v>
      </c>
    </row>
    <row r="272" spans="1:2">
      <c r="A272">
        <f>Engagement_Summary_clean!G198</f>
        <v>13140</v>
      </c>
      <c r="B272">
        <f>Engagement_Summary_clean!H198</f>
        <v>302</v>
      </c>
    </row>
    <row r="273" spans="1:2">
      <c r="A273">
        <f>Engagement_Summary_clean!G199</f>
        <v>19538</v>
      </c>
      <c r="B273">
        <f>Engagement_Summary_clean!H199</f>
        <v>250</v>
      </c>
    </row>
    <row r="274" spans="1:2">
      <c r="A274">
        <f>Engagement_Summary_clean!G200</f>
        <v>7881</v>
      </c>
      <c r="B274">
        <f>Engagement_Summary_clean!H200</f>
        <v>820</v>
      </c>
    </row>
    <row r="275" spans="1:2">
      <c r="A275">
        <f>Engagement_Summary_clean!G201</f>
        <v>11418</v>
      </c>
      <c r="B275">
        <f>Engagement_Summary_clean!H201</f>
        <v>616</v>
      </c>
    </row>
  </sheetData>
  <mergeCells count="7">
    <mergeCell ref="A73:K73"/>
    <mergeCell ref="A1:E1"/>
    <mergeCell ref="L25:W25"/>
    <mergeCell ref="L24:M24"/>
    <mergeCell ref="L27:W27"/>
    <mergeCell ref="N23:P23"/>
    <mergeCell ref="L2:R2"/>
  </mergeCells>
  <phoneticPr fontId="21" type="noConversion"/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14A7F4-D272-4922-8AFD-4A388EF0A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Table1</vt:lpstr>
      <vt:lpstr>Posts</vt:lpstr>
      <vt:lpstr>Engagement Summary</vt:lpstr>
      <vt:lpstr>Campaign Metadata</vt:lpstr>
      <vt:lpstr>Posts_clean</vt:lpstr>
      <vt:lpstr>Engagement_Summary_clean</vt:lpstr>
      <vt:lpstr>Campaign_Metadata_clean</vt:lpstr>
      <vt:lpstr>Task1</vt:lpstr>
      <vt:lpstr>Task2</vt:lpstr>
      <vt:lpstr>Task3</vt:lpstr>
      <vt:lpstr>Task4</vt:lpstr>
      <vt:lpstr>Task5</vt:lpstr>
      <vt:lpstr>Task6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ms</dc:creator>
  <cp:lastModifiedBy>swarup ms</cp:lastModifiedBy>
  <dcterms:created xsi:type="dcterms:W3CDTF">2026-02-16T19:33:31Z</dcterms:created>
  <dcterms:modified xsi:type="dcterms:W3CDTF">2026-02-19T20:08:22Z</dcterms:modified>
</cp:coreProperties>
</file>